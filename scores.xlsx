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4265439-6D7D-4B5D-865A-85BABC998A3A}" xr6:coauthVersionLast="47" xr6:coauthVersionMax="47" xr10:uidLastSave="{00000000-0000-0000-0000-000000000000}"/>
  <bookViews>
    <workbookView xWindow="1500" yWindow="1500" windowWidth="17280" windowHeight="8880" tabRatio="892" xr2:uid="{41E2BF17-4F7A-40A3-BA6C-A93B63DFAF18}"/>
  </bookViews>
  <sheets>
    <sheet name="가천대" sheetId="25" r:id="rId1"/>
    <sheet name="강남대" sheetId="27" r:id="rId2"/>
    <sheet name="경북대" sheetId="14" r:id="rId3"/>
    <sheet name="경희대" sheetId="7" r:id="rId4"/>
    <sheet name="광운대" sheetId="1" r:id="rId5"/>
    <sheet name="국민대" sheetId="8" r:id="rId6"/>
    <sheet name="단국대" sheetId="11" r:id="rId7"/>
    <sheet name="동국대" sheetId="3" r:id="rId8"/>
    <sheet name="부산대" sheetId="28" r:id="rId9"/>
    <sheet name="삼육대" sheetId="16" r:id="rId10"/>
    <sheet name="상명대" sheetId="26" r:id="rId11"/>
    <sheet name="서경대" sheetId="29" r:id="rId12"/>
    <sheet name="서울시립대" sheetId="18" r:id="rId13"/>
    <sheet name="성신여대" sheetId="4" r:id="rId14"/>
    <sheet name="세종대" sheetId="5" r:id="rId15"/>
    <sheet name="숭실대" sheetId="10" r:id="rId16"/>
    <sheet name="신한대" sheetId="19" r:id="rId17"/>
    <sheet name="아주대" sheetId="12" r:id="rId18"/>
    <sheet name="을지대" sheetId="20" r:id="rId19"/>
    <sheet name="인하대" sheetId="21" r:id="rId20"/>
    <sheet name="중앙대" sheetId="9" r:id="rId21"/>
    <sheet name="한국공학대" sheetId="13" r:id="rId22"/>
    <sheet name="한국기술교육대" sheetId="22" r:id="rId23"/>
    <sheet name="한국외대" sheetId="30" r:id="rId24"/>
    <sheet name="한국항공대" sheetId="23" r:id="rId25"/>
    <sheet name="한신대" sheetId="24" r:id="rId26"/>
    <sheet name="한양대" sheetId="6" r:id="rId27"/>
  </sheets>
  <definedNames>
    <definedName name="_xlnm._FilterDatabase" localSheetId="0" hidden="1">가천대!$A$1:$C$46</definedName>
    <definedName name="_xlnm._FilterDatabase" localSheetId="1" hidden="1">강남대!$A$1:$C$1</definedName>
    <definedName name="_xlnm._FilterDatabase" localSheetId="2" hidden="1">경북대!$A$1:$C$44</definedName>
    <definedName name="_xlnm._FilterDatabase" localSheetId="3" hidden="1">경희대!$A$1:$B$38</definedName>
    <definedName name="_xlnm._FilterDatabase" localSheetId="4" hidden="1">광운대!$A$1:$B$18</definedName>
    <definedName name="_xlnm._FilterDatabase" localSheetId="5" hidden="1">국민대!$A$1:$C$23</definedName>
    <definedName name="_xlnm._FilterDatabase" localSheetId="6" hidden="1">단국대!$A$1:$B$18</definedName>
    <definedName name="_xlnm._FilterDatabase" localSheetId="7" hidden="1">동국대!$A$1:$B$21</definedName>
    <definedName name="_xlnm._FilterDatabase" localSheetId="8" hidden="1">부산대!$A$1:$B$21</definedName>
    <definedName name="_xlnm._FilterDatabase" localSheetId="9" hidden="1">삼육대!$A$1:$B$8</definedName>
    <definedName name="_xlnm._FilterDatabase" localSheetId="10" hidden="1">상명대!$A$1:$B$13</definedName>
    <definedName name="_xlnm._FilterDatabase" localSheetId="11" hidden="1">서경대!$A$1:$B$1</definedName>
    <definedName name="_xlnm._FilterDatabase" localSheetId="12" hidden="1">서울시립대!$A$1:$C$13</definedName>
    <definedName name="_xlnm._FilterDatabase" localSheetId="13" hidden="1">성신여대!$A$1:$B$13</definedName>
    <definedName name="_xlnm._FilterDatabase" localSheetId="14" hidden="1">세종대!$A$1:$B$25</definedName>
    <definedName name="_xlnm._FilterDatabase" localSheetId="15" hidden="1">숭실대!$A$1:$B$26</definedName>
    <definedName name="_xlnm._FilterDatabase" localSheetId="16" hidden="1">신한대!$A$1:$C$10</definedName>
    <definedName name="_xlnm._FilterDatabase" localSheetId="17" hidden="1">아주대!$A$1:$B$21</definedName>
    <definedName name="_xlnm._FilterDatabase" localSheetId="18" hidden="1">을지대!$A$1:$C$15</definedName>
    <definedName name="_xlnm._FilterDatabase" localSheetId="19" hidden="1">인하대!$A$1:$B$15</definedName>
    <definedName name="_xlnm._FilterDatabase" localSheetId="20" hidden="1">중앙대!$A$1:$B$26</definedName>
    <definedName name="_xlnm._FilterDatabase" localSheetId="21" hidden="1">한국공학대!$A$1:$C$28</definedName>
    <definedName name="_xlnm._FilterDatabase" localSheetId="22" hidden="1">한국기술교육대!$A$1:$B$23</definedName>
    <definedName name="_xlnm._FilterDatabase" localSheetId="23" hidden="1">한국외대!$A$1:$B$23</definedName>
    <definedName name="_xlnm._FilterDatabase" localSheetId="24" hidden="1">한국항공대!$A$1:$B$23</definedName>
    <definedName name="_xlnm._FilterDatabase" localSheetId="25" hidden="1">한신대!$A$1:$B$23</definedName>
    <definedName name="_xlnm._FilterDatabase" localSheetId="26" hidden="1">한양대!$A$1:$B$23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29" l="1"/>
  <c r="C4" i="29"/>
  <c r="C2" i="29"/>
  <c r="C22" i="25"/>
  <c r="C23" i="25"/>
  <c r="C10" i="25"/>
  <c r="C18" i="25"/>
  <c r="C7" i="25"/>
  <c r="C39" i="25"/>
  <c r="C11" i="25"/>
  <c r="C5" i="25"/>
  <c r="C8" i="25"/>
  <c r="C9" i="25"/>
  <c r="C41" i="25"/>
  <c r="C13" i="25"/>
  <c r="C25" i="25"/>
  <c r="C16" i="25"/>
  <c r="C19" i="25"/>
  <c r="C30" i="25"/>
  <c r="C31" i="25"/>
  <c r="C20" i="25"/>
  <c r="C33" i="25"/>
  <c r="C17" i="25"/>
  <c r="C34" i="25"/>
  <c r="C42" i="25"/>
  <c r="C32" i="25"/>
  <c r="C38" i="25"/>
  <c r="C21" i="25"/>
  <c r="C43" i="25"/>
  <c r="C2" i="25"/>
  <c r="C26" i="25"/>
  <c r="C40" i="25"/>
  <c r="C35" i="25"/>
  <c r="C46" i="25"/>
  <c r="C36" i="25"/>
  <c r="C24" i="25"/>
  <c r="C6" i="25"/>
  <c r="C44" i="25"/>
  <c r="C45" i="25"/>
  <c r="C3" i="25"/>
  <c r="C12" i="25"/>
  <c r="C4" i="25"/>
  <c r="C27" i="25"/>
  <c r="C37" i="25"/>
  <c r="C28" i="25"/>
  <c r="C29" i="25"/>
  <c r="C15" i="25"/>
  <c r="C14" i="25"/>
  <c r="C14" i="20"/>
  <c r="C13" i="20"/>
  <c r="C8" i="20"/>
  <c r="C7" i="20"/>
  <c r="C4" i="20"/>
  <c r="C5" i="20"/>
  <c r="C3" i="20"/>
  <c r="C2" i="20"/>
  <c r="C6" i="20"/>
  <c r="C15" i="20"/>
  <c r="C10" i="20"/>
  <c r="C11" i="20"/>
  <c r="C12" i="20"/>
  <c r="C9" i="20"/>
  <c r="C3" i="13"/>
  <c r="C4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" i="13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" i="5"/>
  <c r="C3" i="18"/>
  <c r="C4" i="18"/>
  <c r="C5" i="18"/>
  <c r="C6" i="18"/>
  <c r="C7" i="18"/>
  <c r="C8" i="18"/>
  <c r="C9" i="18"/>
  <c r="C10" i="18"/>
  <c r="C11" i="18"/>
  <c r="C12" i="18"/>
  <c r="C13" i="18"/>
  <c r="C2" i="1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" i="8"/>
  <c r="C3" i="14"/>
  <c r="C4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2" i="14"/>
  <c r="C8" i="19"/>
  <c r="C10" i="19"/>
  <c r="C2" i="19"/>
  <c r="C4" i="19"/>
  <c r="C6" i="19"/>
  <c r="C3" i="19"/>
  <c r="C7" i="19"/>
  <c r="C5" i="19"/>
  <c r="C9" i="19"/>
</calcChain>
</file>

<file path=xl/sharedStrings.xml><?xml version="1.0" encoding="utf-8"?>
<sst xmlns="http://schemas.openxmlformats.org/spreadsheetml/2006/main" count="610" uniqueCount="414">
  <si>
    <t>학과명</t>
    <phoneticPr fontId="1" type="noConversion"/>
  </si>
  <si>
    <t>논술점수</t>
    <phoneticPr fontId="1" type="noConversion"/>
  </si>
  <si>
    <t>전자공학과</t>
    <phoneticPr fontId="1" type="noConversion"/>
  </si>
  <si>
    <t>전자통신공학과</t>
    <phoneticPr fontId="1" type="noConversion"/>
  </si>
  <si>
    <t>전자융합공학과</t>
    <phoneticPr fontId="1" type="noConversion"/>
  </si>
  <si>
    <t>전기공학과</t>
    <phoneticPr fontId="1" type="noConversion"/>
  </si>
  <si>
    <t>전자재료공학과</t>
    <phoneticPr fontId="1" type="noConversion"/>
  </si>
  <si>
    <t>반도체시스템공학전공</t>
    <phoneticPr fontId="1" type="noConversion"/>
  </si>
  <si>
    <t>컴퓨터정보공학부</t>
    <phoneticPr fontId="1" type="noConversion"/>
  </si>
  <si>
    <t>소프트웨어학부</t>
    <phoneticPr fontId="1" type="noConversion"/>
  </si>
  <si>
    <t>정보융합학부</t>
    <phoneticPr fontId="1" type="noConversion"/>
  </si>
  <si>
    <t>AI로봇전공</t>
    <phoneticPr fontId="1" type="noConversion"/>
  </si>
  <si>
    <t>건축학과</t>
    <phoneticPr fontId="1" type="noConversion"/>
  </si>
  <si>
    <t>건축공학과</t>
    <phoneticPr fontId="1" type="noConversion"/>
  </si>
  <si>
    <t>화학공학과</t>
    <phoneticPr fontId="1" type="noConversion"/>
  </si>
  <si>
    <t>환경공학과</t>
    <phoneticPr fontId="1" type="noConversion"/>
  </si>
  <si>
    <t>수학과</t>
    <phoneticPr fontId="1" type="noConversion"/>
  </si>
  <si>
    <t>전자바이오물리학과</t>
    <phoneticPr fontId="1" type="noConversion"/>
  </si>
  <si>
    <t>화학과</t>
    <phoneticPr fontId="1" type="noConversion"/>
  </si>
  <si>
    <t>통계학과</t>
    <phoneticPr fontId="1" type="noConversion"/>
  </si>
  <si>
    <t>경찰행정학부(자연)</t>
    <phoneticPr fontId="1" type="noConversion"/>
  </si>
  <si>
    <t>생명과학과</t>
    <phoneticPr fontId="1" type="noConversion"/>
  </si>
  <si>
    <t>식품바이오융합공학과</t>
    <phoneticPr fontId="1" type="noConversion"/>
  </si>
  <si>
    <t>의생명공학과</t>
    <phoneticPr fontId="1" type="noConversion"/>
  </si>
  <si>
    <t>전자전기공학부</t>
    <phoneticPr fontId="1" type="noConversion"/>
  </si>
  <si>
    <t>정보통신공학과</t>
    <phoneticPr fontId="1" type="noConversion"/>
  </si>
  <si>
    <t>건설환경공학과</t>
    <phoneticPr fontId="1" type="noConversion"/>
  </si>
  <si>
    <t>화공생물공학과</t>
    <phoneticPr fontId="1" type="noConversion"/>
  </si>
  <si>
    <t>기계로봇에너지공학과</t>
    <phoneticPr fontId="1" type="noConversion"/>
  </si>
  <si>
    <t>건축공학부</t>
    <phoneticPr fontId="1" type="noConversion"/>
  </si>
  <si>
    <t>산업시스템공학과</t>
    <phoneticPr fontId="1" type="noConversion"/>
  </si>
  <si>
    <t>에너지신소재공학과</t>
    <phoneticPr fontId="1" type="noConversion"/>
  </si>
  <si>
    <t>시스템반도체학부</t>
    <phoneticPr fontId="1" type="noConversion"/>
  </si>
  <si>
    <t>의료인공지능공학과</t>
    <phoneticPr fontId="1" type="noConversion"/>
  </si>
  <si>
    <t>수학교육과</t>
    <phoneticPr fontId="1" type="noConversion"/>
  </si>
  <si>
    <t>약학과</t>
    <phoneticPr fontId="1" type="noConversion"/>
  </si>
  <si>
    <t>컴퓨터·AI학부(자연)</t>
    <phoneticPr fontId="1" type="noConversion"/>
  </si>
  <si>
    <t>수리통계데이터사이언스학부(수학/핀테크)</t>
    <phoneticPr fontId="1" type="noConversion"/>
  </si>
  <si>
    <t>수리통계데이터사이언스학부(통계학/빅데이터사이언스)</t>
    <phoneticPr fontId="1" type="noConversion"/>
  </si>
  <si>
    <t>화학에너지융합학부</t>
    <phoneticPr fontId="1" type="noConversion"/>
  </si>
  <si>
    <t>바이오헬스융합학부</t>
    <phoneticPr fontId="1" type="noConversion"/>
  </si>
  <si>
    <t>청정신소재공학과</t>
    <phoneticPr fontId="1" type="noConversion"/>
  </si>
  <si>
    <t>바이오식품공학과</t>
    <phoneticPr fontId="1" type="noConversion"/>
  </si>
  <si>
    <t>바이오신약의과학부</t>
    <phoneticPr fontId="1" type="noConversion"/>
  </si>
  <si>
    <t>AI융합학부</t>
    <phoneticPr fontId="1" type="noConversion"/>
  </si>
  <si>
    <t>컴퓨터공학과</t>
    <phoneticPr fontId="1" type="noConversion"/>
  </si>
  <si>
    <t>융합보안공학과</t>
    <phoneticPr fontId="1" type="noConversion"/>
  </si>
  <si>
    <t>서비스디자인공학과</t>
    <phoneticPr fontId="1" type="noConversion"/>
  </si>
  <si>
    <t>간호학과(자연)</t>
    <phoneticPr fontId="1" type="noConversion"/>
  </si>
  <si>
    <t>수학통계학과</t>
    <phoneticPr fontId="1" type="noConversion"/>
  </si>
  <si>
    <t>물리천문학과</t>
    <phoneticPr fontId="1" type="noConversion"/>
  </si>
  <si>
    <t>생명시스템학부</t>
    <phoneticPr fontId="1" type="noConversion"/>
  </si>
  <si>
    <t>스마트생명산업융합학과</t>
    <phoneticPr fontId="1" type="noConversion"/>
  </si>
  <si>
    <t>AI융합전자공학과</t>
    <phoneticPr fontId="1" type="noConversion"/>
  </si>
  <si>
    <t>반도체시스템공학과</t>
    <phoneticPr fontId="1" type="noConversion"/>
  </si>
  <si>
    <t>정보보호학과</t>
    <phoneticPr fontId="1" type="noConversion"/>
  </si>
  <si>
    <t>양자지능정보학과</t>
    <phoneticPr fontId="1" type="noConversion"/>
  </si>
  <si>
    <t>인공지능데이터사이언스학과</t>
    <phoneticPr fontId="1" type="noConversion"/>
  </si>
  <si>
    <t>AI로봇학과</t>
    <phoneticPr fontId="1" type="noConversion"/>
  </si>
  <si>
    <t>지능정보융합학과</t>
    <phoneticPr fontId="1" type="noConversion"/>
  </si>
  <si>
    <t>콘텐츠소프트웨어학과</t>
    <phoneticPr fontId="1" type="noConversion"/>
  </si>
  <si>
    <t>환경융합공학과</t>
    <phoneticPr fontId="1" type="noConversion"/>
  </si>
  <si>
    <t>에너지자원공학과</t>
    <phoneticPr fontId="1" type="noConversion"/>
  </si>
  <si>
    <t>기계공학과</t>
    <phoneticPr fontId="1" type="noConversion"/>
  </si>
  <si>
    <t>우주항공공학전공</t>
    <phoneticPr fontId="1" type="noConversion"/>
  </si>
  <si>
    <t>지능형드론융합전공</t>
    <phoneticPr fontId="1" type="noConversion"/>
  </si>
  <si>
    <t>나노신소재공학과</t>
    <phoneticPr fontId="1" type="noConversion"/>
  </si>
  <si>
    <t>양자원자력공학과</t>
    <phoneticPr fontId="1" type="noConversion"/>
  </si>
  <si>
    <t>건축학부</t>
    <phoneticPr fontId="1" type="noConversion"/>
  </si>
  <si>
    <t>도시공학과</t>
    <phoneticPr fontId="1" type="noConversion"/>
  </si>
  <si>
    <t>간호학과</t>
    <phoneticPr fontId="1" type="noConversion"/>
  </si>
  <si>
    <t>식품영양학과</t>
    <phoneticPr fontId="1" type="noConversion"/>
  </si>
  <si>
    <t>한양인터칼리지학부</t>
    <phoneticPr fontId="1" type="noConversion"/>
  </si>
  <si>
    <t>전기공학전공</t>
    <phoneticPr fontId="1" type="noConversion"/>
  </si>
  <si>
    <t>신소재공학과</t>
    <phoneticPr fontId="1" type="noConversion"/>
  </si>
  <si>
    <t>신소재공학부</t>
    <phoneticPr fontId="1" type="noConversion"/>
  </si>
  <si>
    <t>기계공학부</t>
    <phoneticPr fontId="1" type="noConversion"/>
  </si>
  <si>
    <t>산업공학과</t>
    <phoneticPr fontId="1" type="noConversion"/>
  </si>
  <si>
    <t>물리학과</t>
    <phoneticPr fontId="1" type="noConversion"/>
  </si>
  <si>
    <t>융합전자공학부</t>
    <phoneticPr fontId="1" type="noConversion"/>
  </si>
  <si>
    <t>컴퓨터소프트웨어학부</t>
    <phoneticPr fontId="1" type="noConversion"/>
  </si>
  <si>
    <t>미래자동차공학과</t>
    <phoneticPr fontId="1" type="noConversion"/>
  </si>
  <si>
    <t>반도체공학과</t>
    <phoneticPr fontId="1" type="noConversion"/>
  </si>
  <si>
    <t>의예과</t>
    <phoneticPr fontId="1" type="noConversion"/>
  </si>
  <si>
    <t>생물학과</t>
    <phoneticPr fontId="1" type="noConversion"/>
  </si>
  <si>
    <t>지리학과</t>
    <phoneticPr fontId="1" type="noConversion"/>
  </si>
  <si>
    <t>미래정보디스플레이학부</t>
    <phoneticPr fontId="1" type="noConversion"/>
  </si>
  <si>
    <t>산업경영공학과</t>
    <phoneticPr fontId="1" type="noConversion"/>
  </si>
  <si>
    <t>원자력공학과</t>
    <phoneticPr fontId="1" type="noConversion"/>
  </si>
  <si>
    <t>사회기반시스템공학과</t>
    <phoneticPr fontId="1" type="noConversion"/>
  </si>
  <si>
    <t>환경학및환경공학과</t>
    <phoneticPr fontId="1" type="noConversion"/>
  </si>
  <si>
    <t>생체의공학과</t>
    <phoneticPr fontId="1" type="noConversion"/>
  </si>
  <si>
    <t>인공지능학과</t>
    <phoneticPr fontId="1" type="noConversion"/>
  </si>
  <si>
    <t>소프트웨어융합학과</t>
    <phoneticPr fontId="1" type="noConversion"/>
  </si>
  <si>
    <t>응용수학과</t>
    <phoneticPr fontId="1" type="noConversion"/>
  </si>
  <si>
    <t>응용물리학과</t>
    <phoneticPr fontId="1" type="noConversion"/>
  </si>
  <si>
    <t>응용화학과</t>
    <phoneticPr fontId="1" type="noConversion"/>
  </si>
  <si>
    <t>우주과학과</t>
    <phoneticPr fontId="1" type="noConversion"/>
  </si>
  <si>
    <t>유전생명공학과</t>
    <phoneticPr fontId="1" type="noConversion"/>
  </si>
  <si>
    <t>식품생명공학과</t>
    <phoneticPr fontId="1" type="noConversion"/>
  </si>
  <si>
    <t>융합바이오신소재공학과</t>
    <phoneticPr fontId="1" type="noConversion"/>
  </si>
  <si>
    <t>스마트팜과학과</t>
    <phoneticPr fontId="1" type="noConversion"/>
  </si>
  <si>
    <t>한의예과</t>
    <phoneticPr fontId="1" type="noConversion"/>
  </si>
  <si>
    <t>치의예과</t>
    <phoneticPr fontId="1" type="noConversion"/>
  </si>
  <si>
    <t>한약학과</t>
    <phoneticPr fontId="1" type="noConversion"/>
  </si>
  <si>
    <t>약과학과</t>
    <phoneticPr fontId="1" type="noConversion"/>
  </si>
  <si>
    <t>건설시스템공학부</t>
    <phoneticPr fontId="1" type="noConversion"/>
  </si>
  <si>
    <t>산림환경시스템학과</t>
    <phoneticPr fontId="1" type="noConversion"/>
  </si>
  <si>
    <t>임산생명공학과</t>
    <phoneticPr fontId="1" type="noConversion"/>
  </si>
  <si>
    <t>나노전자물리학과</t>
    <phoneticPr fontId="1" type="noConversion"/>
  </si>
  <si>
    <t>나노소재전공</t>
    <phoneticPr fontId="1" type="noConversion"/>
  </si>
  <si>
    <t>바이오의약전공</t>
    <phoneticPr fontId="1" type="noConversion"/>
  </si>
  <si>
    <t>식품영양학과</t>
    <phoneticPr fontId="1" type="noConversion"/>
  </si>
  <si>
    <t>정보보안암호수학과</t>
    <phoneticPr fontId="1" type="noConversion"/>
  </si>
  <si>
    <t>융합바이오공학과</t>
    <phoneticPr fontId="1" type="noConversion"/>
  </si>
  <si>
    <t>건축학부</t>
    <phoneticPr fontId="1" type="noConversion"/>
  </si>
  <si>
    <t>에너지모빌리티재료전공</t>
    <phoneticPr fontId="1" type="noConversion"/>
  </si>
  <si>
    <t>전자화학재료전공</t>
    <phoneticPr fontId="1" type="noConversion"/>
  </si>
  <si>
    <t>기계공학부</t>
    <phoneticPr fontId="1" type="noConversion"/>
  </si>
  <si>
    <t>경영정보학부(자연)</t>
    <phoneticPr fontId="1" type="noConversion"/>
  </si>
  <si>
    <t>AI빅데이터융합경영학과(자연)</t>
    <phoneticPr fontId="1" type="noConversion"/>
  </si>
  <si>
    <t>지능형반도체융합전자전공</t>
    <phoneticPr fontId="1" type="noConversion"/>
  </si>
  <si>
    <t>지능형ICT융합전공</t>
    <phoneticPr fontId="1" type="noConversion"/>
  </si>
  <si>
    <t>모빌리티전력전자융합전공</t>
    <phoneticPr fontId="1" type="noConversion"/>
  </si>
  <si>
    <t>인공지능학부</t>
    <phoneticPr fontId="1" type="noConversion"/>
  </si>
  <si>
    <t>자동차모빌리티대학</t>
    <phoneticPr fontId="1" type="noConversion"/>
  </si>
  <si>
    <t>미래모빌리티학과</t>
    <phoneticPr fontId="1" type="noConversion"/>
  </si>
  <si>
    <t>소프트웨어학부(자연)</t>
    <phoneticPr fontId="1" type="noConversion"/>
  </si>
  <si>
    <t>도시시스템공학전공</t>
    <phoneticPr fontId="1" type="noConversion"/>
  </si>
  <si>
    <t>건설환경플랜트공학전공</t>
    <phoneticPr fontId="1" type="noConversion"/>
  </si>
  <si>
    <t>에너지시스템공학부</t>
    <phoneticPr fontId="1" type="noConversion"/>
  </si>
  <si>
    <t>AI학과</t>
    <phoneticPr fontId="1" type="noConversion"/>
  </si>
  <si>
    <t>산업보안학과(자연)</t>
    <phoneticPr fontId="1" type="noConversion"/>
  </si>
  <si>
    <t>(다)동물생명공학전공</t>
    <phoneticPr fontId="1" type="noConversion"/>
  </si>
  <si>
    <t>(다)식물생명공학전공</t>
    <phoneticPr fontId="1" type="noConversion"/>
  </si>
  <si>
    <t>(다)식품공학전공</t>
    <phoneticPr fontId="1" type="noConversion"/>
  </si>
  <si>
    <t>(다)식품영양전공</t>
    <phoneticPr fontId="1" type="noConversion"/>
  </si>
  <si>
    <t>(다)시스템생명공학과</t>
    <phoneticPr fontId="1" type="noConversion"/>
  </si>
  <si>
    <t>(다)첨단소재공학과</t>
    <phoneticPr fontId="1" type="noConversion"/>
  </si>
  <si>
    <t>(다)예술공학부</t>
    <phoneticPr fontId="1" type="noConversion"/>
  </si>
  <si>
    <t>융합공학부</t>
    <phoneticPr fontId="1" type="noConversion"/>
  </si>
  <si>
    <t>약학부</t>
    <phoneticPr fontId="1" type="noConversion"/>
  </si>
  <si>
    <t>의학부</t>
    <phoneticPr fontId="1" type="noConversion"/>
  </si>
  <si>
    <t>정보통계보험수리학과</t>
    <phoneticPr fontId="1" type="noConversion"/>
  </si>
  <si>
    <t>의생명시스템학부</t>
    <phoneticPr fontId="1" type="noConversion"/>
  </si>
  <si>
    <t>전기공학부</t>
    <phoneticPr fontId="1" type="noConversion"/>
  </si>
  <si>
    <t>산업정보시스템공학과</t>
    <phoneticPr fontId="1" type="noConversion"/>
  </si>
  <si>
    <t>컴퓨터학부</t>
    <phoneticPr fontId="1" type="noConversion"/>
  </si>
  <si>
    <t>전자공학전공</t>
    <phoneticPr fontId="1" type="noConversion"/>
  </si>
  <si>
    <t>IT융합전공</t>
    <phoneticPr fontId="1" type="noConversion"/>
  </si>
  <si>
    <t>글로벌미디어학부</t>
    <phoneticPr fontId="1" type="noConversion"/>
  </si>
  <si>
    <t>AI소프트웨어학부</t>
    <phoneticPr fontId="1" type="noConversion"/>
  </si>
  <si>
    <t>공학계열광역</t>
    <phoneticPr fontId="1" type="noConversion"/>
  </si>
  <si>
    <t>소프트웨어학과</t>
    <phoneticPr fontId="1" type="noConversion"/>
  </si>
  <si>
    <t>통계데이터사이언스학과</t>
    <phoneticPr fontId="1" type="noConversion"/>
  </si>
  <si>
    <t>사이버보안학과</t>
    <phoneticPr fontId="1" type="noConversion"/>
  </si>
  <si>
    <t>건축학전공</t>
    <phoneticPr fontId="1" type="noConversion"/>
  </si>
  <si>
    <t>과학교육과</t>
    <phoneticPr fontId="1" type="noConversion"/>
  </si>
  <si>
    <t>첨단신소재공학과</t>
    <phoneticPr fontId="1" type="noConversion"/>
  </si>
  <si>
    <t>지능형반도체공학과</t>
    <phoneticPr fontId="1" type="noConversion"/>
  </si>
  <si>
    <t>미래모빌리티공학과</t>
    <phoneticPr fontId="1" type="noConversion"/>
  </si>
  <si>
    <t>의학과</t>
    <phoneticPr fontId="1" type="noConversion"/>
  </si>
  <si>
    <t>자유전공학부(자연)</t>
    <phoneticPr fontId="1" type="noConversion"/>
  </si>
  <si>
    <t>SW자율전공</t>
    <phoneticPr fontId="1" type="noConversion"/>
  </si>
  <si>
    <t>컴퓨터공학전공</t>
    <phoneticPr fontId="1" type="noConversion"/>
  </si>
  <si>
    <t>소프트웨어전공</t>
    <phoneticPr fontId="1" type="noConversion"/>
  </si>
  <si>
    <t>게임공학과</t>
    <phoneticPr fontId="1" type="noConversion"/>
  </si>
  <si>
    <t>IT반도체융합 자율전공</t>
    <phoneticPr fontId="1" type="noConversion"/>
  </si>
  <si>
    <t>임베디드시스템전공</t>
    <phoneticPr fontId="1" type="noConversion"/>
  </si>
  <si>
    <t>나노반도체공학전공</t>
    <phoneticPr fontId="1" type="noConversion"/>
  </si>
  <si>
    <t>반도체시스템전공</t>
    <phoneticPr fontId="1" type="noConversion"/>
  </si>
  <si>
    <t>스마트기계융합 자율전공</t>
    <phoneticPr fontId="1" type="noConversion"/>
  </si>
  <si>
    <t>기계설계전공</t>
    <phoneticPr fontId="1" type="noConversion"/>
  </si>
  <si>
    <t>지능형모빌리티전공</t>
    <phoneticPr fontId="1" type="noConversion"/>
  </si>
  <si>
    <t>메카트로닉스전공</t>
    <phoneticPr fontId="1" type="noConversion"/>
  </si>
  <si>
    <t>첨단융합 자율전공</t>
    <phoneticPr fontId="1" type="noConversion"/>
  </si>
  <si>
    <t>생명화학공학과</t>
    <phoneticPr fontId="1" type="noConversion"/>
  </si>
  <si>
    <t>전력응용시스템전공</t>
    <phoneticPr fontId="1" type="noConversion"/>
  </si>
  <si>
    <t>미래에너지시스템전공</t>
    <phoneticPr fontId="1" type="noConversion"/>
  </si>
  <si>
    <t>경영 자율전공</t>
    <phoneticPr fontId="1" type="noConversion"/>
  </si>
  <si>
    <t>경영학전공</t>
    <phoneticPr fontId="1" type="noConversion"/>
  </si>
  <si>
    <t>데이터사이언스 경영전공</t>
    <phoneticPr fontId="1" type="noConversion"/>
  </si>
  <si>
    <t>IT경영전공</t>
    <phoneticPr fontId="1" type="noConversion"/>
  </si>
  <si>
    <t>디자인공학부</t>
    <phoneticPr fontId="1" type="noConversion"/>
  </si>
  <si>
    <t>자유전공학부</t>
    <phoneticPr fontId="1" type="noConversion"/>
  </si>
  <si>
    <t>수학과</t>
  </si>
  <si>
    <t>물리학과</t>
  </si>
  <si>
    <t>화학과</t>
  </si>
  <si>
    <t>통계학과</t>
  </si>
  <si>
    <t>지구시스템과학부</t>
  </si>
  <si>
    <t>자연과학대학 자율학부</t>
  </si>
  <si>
    <t>금속재료공학과</t>
  </si>
  <si>
    <t>신소재공학과</t>
  </si>
  <si>
    <t>기계공학부</t>
  </si>
  <si>
    <t>건축학부(건축학전공)</t>
  </si>
  <si>
    <t>건축학부(건축공학전공)</t>
  </si>
  <si>
    <t>토목공학과</t>
  </si>
  <si>
    <t>응용화학공학부</t>
  </si>
  <si>
    <t>고분자공학과</t>
  </si>
  <si>
    <t>섬유시스템공학과</t>
  </si>
  <si>
    <t>환경공학과</t>
  </si>
  <si>
    <t>에너지공학부</t>
  </si>
  <si>
    <t>공과대학 자율학부</t>
  </si>
  <si>
    <t>전자공학부</t>
  </si>
  <si>
    <t>전자공학부(인공지능전공)</t>
  </si>
  <si>
    <t>컴퓨터학부(심화컴퓨팅전공)</t>
  </si>
  <si>
    <t>컴퓨터학부(인공지능컴퓨팅전공)</t>
  </si>
  <si>
    <t>컴퓨터학부(첨단컴퓨팅연구전공)</t>
    <phoneticPr fontId="1" type="noConversion"/>
  </si>
  <si>
    <t>전기공학과</t>
  </si>
  <si>
    <t>전자공학부모바일공학전공</t>
  </si>
  <si>
    <t>IT대학 자율학부</t>
  </si>
  <si>
    <t>IT 첨단자율학부</t>
  </si>
  <si>
    <t>응용생명과학부</t>
  </si>
  <si>
    <t>식물의학과</t>
  </si>
  <si>
    <t>식품공학부</t>
  </si>
  <si>
    <t>바이오섬유소재학과</t>
  </si>
  <si>
    <t>농업토목공학과</t>
  </si>
  <si>
    <t>스마트생물산업기계공학과</t>
  </si>
  <si>
    <t>수학교육과</t>
  </si>
  <si>
    <t>간호학과</t>
  </si>
  <si>
    <t>첨단기술융합대학 자율학부1</t>
    <phoneticPr fontId="1" type="noConversion"/>
  </si>
  <si>
    <t>첨단기술융합대학 자율학부2</t>
  </si>
  <si>
    <t>자율전공학부</t>
    <phoneticPr fontId="1" type="noConversion"/>
  </si>
  <si>
    <t>공학 첨단자율학부</t>
  </si>
  <si>
    <t>의예과</t>
  </si>
  <si>
    <t>치의예과</t>
  </si>
  <si>
    <t>수의예과</t>
  </si>
  <si>
    <t>건축학과(5년제)</t>
  </si>
  <si>
    <t>동물자원과학과</t>
  </si>
  <si>
    <t>물리치료학과</t>
  </si>
  <si>
    <t>바이오융합공학과</t>
  </si>
  <si>
    <t>보건관리학과</t>
  </si>
  <si>
    <t>데이터클라우드공학과</t>
  </si>
  <si>
    <t>식품영양학과</t>
  </si>
  <si>
    <t>인공지능융합학부</t>
  </si>
  <si>
    <t>컴퓨터공학부</t>
  </si>
  <si>
    <t>화학생명과학과</t>
  </si>
  <si>
    <t>환경디자인원예학과</t>
  </si>
  <si>
    <t>전자전기컴퓨터공학부</t>
    <phoneticPr fontId="1" type="noConversion"/>
  </si>
  <si>
    <t>기계정보공학과</t>
    <phoneticPr fontId="1" type="noConversion"/>
  </si>
  <si>
    <t>토목공학과</t>
    <phoneticPr fontId="1" type="noConversion"/>
  </si>
  <si>
    <t>컴퓨터과학부</t>
    <phoneticPr fontId="1" type="noConversion"/>
  </si>
  <si>
    <t>건축공학전공</t>
    <phoneticPr fontId="1" type="noConversion"/>
  </si>
  <si>
    <t>교통공학과</t>
    <phoneticPr fontId="1" type="noConversion"/>
  </si>
  <si>
    <t>환경공학부</t>
    <phoneticPr fontId="1" type="noConversion"/>
  </si>
  <si>
    <t>공간정보공학과</t>
    <phoneticPr fontId="1" type="noConversion"/>
  </si>
  <si>
    <t>치위생학과</t>
    <phoneticPr fontId="1" type="noConversion"/>
  </si>
  <si>
    <t>임상병리학과</t>
    <phoneticPr fontId="1" type="noConversion"/>
  </si>
  <si>
    <t>방사선학과</t>
    <phoneticPr fontId="1" type="noConversion"/>
  </si>
  <si>
    <t>경영대학(자율전공)</t>
    <phoneticPr fontId="1" type="noConversion"/>
  </si>
  <si>
    <t>사회과학대학(자율전공)</t>
    <phoneticPr fontId="1" type="noConversion"/>
  </si>
  <si>
    <t>100점 만점 환산</t>
    <phoneticPr fontId="1" type="noConversion"/>
  </si>
  <si>
    <t>임상병리학과(의)</t>
    <phoneticPr fontId="1" type="noConversion"/>
  </si>
  <si>
    <t>간호학과(의)</t>
    <phoneticPr fontId="1" type="noConversion"/>
  </si>
  <si>
    <t>안경광학과</t>
    <phoneticPr fontId="1" type="noConversion"/>
  </si>
  <si>
    <t>응급구조학과</t>
    <phoneticPr fontId="1" type="noConversion"/>
  </si>
  <si>
    <t>물리치료학과</t>
    <phoneticPr fontId="1" type="noConversion"/>
  </si>
  <si>
    <t>의료경영학과</t>
    <phoneticPr fontId="1" type="noConversion"/>
  </si>
  <si>
    <t>자유전공학부(의)</t>
    <phoneticPr fontId="1" type="noConversion"/>
  </si>
  <si>
    <t>첨단학부</t>
    <phoneticPr fontId="1" type="noConversion"/>
  </si>
  <si>
    <t>자연계열학부</t>
    <phoneticPr fontId="1" type="noConversion"/>
  </si>
  <si>
    <t>인문사회계열학부</t>
    <phoneticPr fontId="1" type="noConversion"/>
  </si>
  <si>
    <t>항공우주공학과</t>
    <phoneticPr fontId="1" type="noConversion"/>
  </si>
  <si>
    <t>조선해양공학과</t>
    <phoneticPr fontId="1" type="noConversion"/>
  </si>
  <si>
    <t>고분자공학과</t>
    <phoneticPr fontId="1" type="noConversion"/>
  </si>
  <si>
    <t>전기전자공학부</t>
    <phoneticPr fontId="1" type="noConversion"/>
  </si>
  <si>
    <t>인공지능공학과</t>
    <phoneticPr fontId="1" type="noConversion"/>
  </si>
  <si>
    <t>데이터사이언스학과</t>
    <phoneticPr fontId="1" type="noConversion"/>
  </si>
  <si>
    <t>스마트모빌리티공학과</t>
    <phoneticPr fontId="1" type="noConversion"/>
  </si>
  <si>
    <t>사회인프라공학과</t>
    <phoneticPr fontId="1" type="noConversion"/>
  </si>
  <si>
    <t>이차전지융합학과</t>
    <phoneticPr fontId="1" type="noConversion"/>
  </si>
  <si>
    <t>해양과학과</t>
    <phoneticPr fontId="1" type="noConversion"/>
  </si>
  <si>
    <t>생명공학과</t>
    <phoneticPr fontId="1" type="noConversion"/>
  </si>
  <si>
    <t>메카트로닉스공학부</t>
    <phoneticPr fontId="1" type="noConversion"/>
  </si>
  <si>
    <t>디자인공학전공</t>
    <phoneticPr fontId="1" type="noConversion"/>
  </si>
  <si>
    <t>에너지신소재공학전공</t>
    <phoneticPr fontId="1" type="noConversion"/>
  </si>
  <si>
    <t>화학생명공학전공</t>
    <phoneticPr fontId="1" type="noConversion"/>
  </si>
  <si>
    <t>공학융합자율전공</t>
    <phoneticPr fontId="1" type="noConversion"/>
  </si>
  <si>
    <t>AI정보통신공학전공</t>
    <phoneticPr fontId="1" type="noConversion"/>
  </si>
  <si>
    <t>AI·소프트웨어전공</t>
    <phoneticPr fontId="1" type="noConversion"/>
  </si>
  <si>
    <t>ICT융합자율전공</t>
    <phoneticPr fontId="1" type="noConversion"/>
  </si>
  <si>
    <t>공과대학</t>
    <phoneticPr fontId="1" type="noConversion"/>
  </si>
  <si>
    <t>AI융합대학</t>
    <phoneticPr fontId="1" type="noConversion"/>
  </si>
  <si>
    <t>스마트드론공학과</t>
    <phoneticPr fontId="1" type="noConversion"/>
  </si>
  <si>
    <t>AI자율주행시스템공학과</t>
    <phoneticPr fontId="1" type="noConversion"/>
  </si>
  <si>
    <t>자유전공학부(공학적성)</t>
    <phoneticPr fontId="1" type="noConversion"/>
  </si>
  <si>
    <t>항공경영대학(이학적성)</t>
    <phoneticPr fontId="1" type="noConversion"/>
  </si>
  <si>
    <t>항공운항학과</t>
    <phoneticPr fontId="1" type="noConversion"/>
  </si>
  <si>
    <t>자유전공학부(이학적성)</t>
    <phoneticPr fontId="1" type="noConversion"/>
  </si>
  <si>
    <t>한국어문학</t>
    <phoneticPr fontId="1" type="noConversion"/>
  </si>
  <si>
    <t>철학</t>
    <phoneticPr fontId="1" type="noConversion"/>
  </si>
  <si>
    <t>한국사학</t>
    <phoneticPr fontId="1" type="noConversion"/>
  </si>
  <si>
    <t>문예창작학</t>
    <phoneticPr fontId="1" type="noConversion"/>
  </si>
  <si>
    <t>독일어문화학</t>
    <phoneticPr fontId="1" type="noConversion"/>
  </si>
  <si>
    <t>영미문화학</t>
    <phoneticPr fontId="1" type="noConversion"/>
  </si>
  <si>
    <t>중국어문화콘텐츠학</t>
    <phoneticPr fontId="1" type="noConversion"/>
  </si>
  <si>
    <t>디지털영상문화콘텐츠학</t>
    <phoneticPr fontId="1" type="noConversion"/>
  </si>
  <si>
    <t>일본학</t>
    <phoneticPr fontId="1" type="noConversion"/>
  </si>
  <si>
    <t>동아시아통상학</t>
    <phoneticPr fontId="1" type="noConversion"/>
  </si>
  <si>
    <t>경제금융학</t>
    <phoneticPr fontId="1" type="noConversion"/>
  </si>
  <si>
    <t>국제관계학</t>
    <phoneticPr fontId="1" type="noConversion"/>
  </si>
  <si>
    <t>공공인재빅데이터융합학</t>
    <phoneticPr fontId="1" type="noConversion"/>
  </si>
  <si>
    <t>경영학</t>
    <phoneticPr fontId="1" type="noConversion"/>
  </si>
  <si>
    <t>미디어영상광고홍보학</t>
    <phoneticPr fontId="1" type="noConversion"/>
  </si>
  <si>
    <t>사회학</t>
    <phoneticPr fontId="1" type="noConversion"/>
  </si>
  <si>
    <t>사회복지학</t>
    <phoneticPr fontId="1" type="noConversion"/>
  </si>
  <si>
    <t>재활상담학</t>
    <phoneticPr fontId="1" type="noConversion"/>
  </si>
  <si>
    <t>심리·아동학</t>
    <phoneticPr fontId="1" type="noConversion"/>
  </si>
  <si>
    <t>금융공학</t>
    <phoneticPr fontId="1" type="noConversion"/>
  </si>
  <si>
    <t>빅데이터융합학</t>
    <phoneticPr fontId="1" type="noConversion"/>
  </si>
  <si>
    <t>AI·SW학</t>
    <phoneticPr fontId="1" type="noConversion"/>
  </si>
  <si>
    <t>AI시스템반도체학</t>
    <phoneticPr fontId="1" type="noConversion"/>
  </si>
  <si>
    <t>경영학과</t>
  </si>
  <si>
    <t>글로벌한국학과</t>
  </si>
  <si>
    <t>사회복지학과</t>
  </si>
  <si>
    <t>상담심리학과</t>
  </si>
  <si>
    <t>영어영문학과</t>
  </si>
  <si>
    <t>유아교육과</t>
  </si>
  <si>
    <t>항공관광외국어학부</t>
  </si>
  <si>
    <t>회계세무학과</t>
  </si>
  <si>
    <t>관광경영학과</t>
  </si>
  <si>
    <t>의료산업경영학과</t>
  </si>
  <si>
    <t>금융·빅데이터학부</t>
  </si>
  <si>
    <t>경제학과</t>
  </si>
  <si>
    <t>응용통계학과</t>
  </si>
  <si>
    <t>심리학과</t>
  </si>
  <si>
    <t>미디어커뮤니케이션학과</t>
  </si>
  <si>
    <t>유아교육학과</t>
  </si>
  <si>
    <t>패션산업학과</t>
  </si>
  <si>
    <t>AI인문대학</t>
  </si>
  <si>
    <t>법과대학</t>
  </si>
  <si>
    <t>도시계획·조경학부</t>
  </si>
  <si>
    <t>건축학부</t>
  </si>
  <si>
    <t>건축공학과</t>
  </si>
  <si>
    <t>화공생명배터리공학부</t>
  </si>
  <si>
    <t>건설환경공학과</t>
  </si>
  <si>
    <t>스마트팩토리학과</t>
  </si>
  <si>
    <t>식품생명공학과</t>
  </si>
  <si>
    <t>바이오나노학과</t>
  </si>
  <si>
    <t>생명과학과</t>
  </si>
  <si>
    <t>반도체물리학과</t>
  </si>
  <si>
    <t>스마트시티학과</t>
  </si>
  <si>
    <t>클라우드공학과</t>
  </si>
  <si>
    <t>컴퓨터공학과</t>
  </si>
  <si>
    <t>인공지능학과</t>
  </si>
  <si>
    <t>의공학과</t>
  </si>
  <si>
    <t>운동재활학과</t>
  </si>
  <si>
    <t>바이오로직스학과</t>
  </si>
  <si>
    <t>치위생학과</t>
  </si>
  <si>
    <t>응급구조학과</t>
  </si>
  <si>
    <t>방사선학과</t>
  </si>
  <si>
    <t>반도체대학</t>
  </si>
  <si>
    <t>시스템반도체학과</t>
  </si>
  <si>
    <t>스마트보안학과</t>
    <phoneticPr fontId="1" type="noConversion"/>
  </si>
  <si>
    <t>자유전공(이공계열)</t>
    <phoneticPr fontId="1" type="noConversion"/>
  </si>
  <si>
    <t>자유전공(인문계열)</t>
    <phoneticPr fontId="1" type="noConversion"/>
  </si>
  <si>
    <t>역사콘텐츠전공</t>
    <phoneticPr fontId="1" type="noConversion"/>
  </si>
  <si>
    <t>지적재산권전공</t>
    <phoneticPr fontId="1" type="noConversion"/>
  </si>
  <si>
    <t>문헌정보학전공</t>
    <phoneticPr fontId="1" type="noConversion"/>
  </si>
  <si>
    <t>한일문화콘텐츠전공</t>
    <phoneticPr fontId="1" type="noConversion"/>
  </si>
  <si>
    <t>공간환경학부</t>
    <phoneticPr fontId="1" type="noConversion"/>
  </si>
  <si>
    <t>행정학부</t>
    <phoneticPr fontId="1" type="noConversion"/>
  </si>
  <si>
    <t>가족복지학과</t>
    <phoneticPr fontId="1" type="noConversion"/>
  </si>
  <si>
    <t>경제금융학부</t>
    <phoneticPr fontId="1" type="noConversion"/>
  </si>
  <si>
    <t>경영학부</t>
    <phoneticPr fontId="1" type="noConversion"/>
  </si>
  <si>
    <t>글로벌경영학과</t>
    <phoneticPr fontId="1" type="noConversion"/>
  </si>
  <si>
    <t>국어교육과</t>
    <phoneticPr fontId="1" type="noConversion"/>
  </si>
  <si>
    <t>영어교육과</t>
    <phoneticPr fontId="1" type="noConversion"/>
  </si>
  <si>
    <t>교육학과</t>
    <phoneticPr fontId="1" type="noConversion"/>
  </si>
  <si>
    <t>휴먼AI공학전공</t>
    <phoneticPr fontId="1" type="noConversion"/>
  </si>
  <si>
    <t>핀테크전공·빅데이터융합전공·스마트생산전공</t>
    <phoneticPr fontId="1" type="noConversion"/>
  </si>
  <si>
    <t>컴퓨터과학전공</t>
    <phoneticPr fontId="1" type="noConversion"/>
  </si>
  <si>
    <t>게임전공</t>
    <phoneticPr fontId="1" type="noConversion"/>
  </si>
  <si>
    <t>생명공학전공</t>
    <phoneticPr fontId="1" type="noConversion"/>
  </si>
  <si>
    <t>화학에너지공학전공</t>
    <phoneticPr fontId="1" type="noConversion"/>
  </si>
  <si>
    <t>화공신소재전공</t>
    <phoneticPr fontId="1" type="noConversion"/>
  </si>
  <si>
    <t>식품영양학전공</t>
    <phoneticPr fontId="1" type="noConversion"/>
  </si>
  <si>
    <t>의류학과</t>
    <phoneticPr fontId="1" type="noConversion"/>
  </si>
  <si>
    <t>애니메이션전공</t>
    <phoneticPr fontId="1" type="noConversion"/>
  </si>
  <si>
    <t>복지융합대학</t>
    <phoneticPr fontId="1" type="noConversion"/>
  </si>
  <si>
    <t>상경학부</t>
    <phoneticPr fontId="1" type="noConversion"/>
  </si>
  <si>
    <t>법행정세무학부</t>
    <phoneticPr fontId="1" type="noConversion"/>
  </si>
  <si>
    <t>글로벌문화콘텐츠대학</t>
    <phoneticPr fontId="1" type="noConversion"/>
  </si>
  <si>
    <t>컴퓨터공학부</t>
    <phoneticPr fontId="1" type="noConversion"/>
  </si>
  <si>
    <t>인공지능융합공학부</t>
    <phoneticPr fontId="1" type="noConversion"/>
  </si>
  <si>
    <t>전자반도체공학부</t>
    <phoneticPr fontId="1" type="noConversion"/>
  </si>
  <si>
    <t>부동산건설학부</t>
    <phoneticPr fontId="1" type="noConversion"/>
  </si>
  <si>
    <t>유아교육과</t>
    <phoneticPr fontId="1" type="noConversion"/>
  </si>
  <si>
    <t>초등특수교육과</t>
    <phoneticPr fontId="1" type="noConversion"/>
  </si>
  <si>
    <t>중등특수교육과</t>
    <phoneticPr fontId="1" type="noConversion"/>
  </si>
  <si>
    <t>사회복지학부(야)</t>
    <phoneticPr fontId="1" type="noConversion"/>
  </si>
  <si>
    <t>상경학부(야)</t>
    <phoneticPr fontId="1" type="noConversion"/>
  </si>
  <si>
    <t>법행정세무학부(야)</t>
    <phoneticPr fontId="1" type="noConversion"/>
  </si>
  <si>
    <t>지질환경과학과</t>
    <phoneticPr fontId="1" type="noConversion"/>
  </si>
  <si>
    <t>대기환경과학과</t>
    <phoneticPr fontId="1" type="noConversion"/>
  </si>
  <si>
    <t>재료공학부</t>
    <phoneticPr fontId="1" type="noConversion"/>
  </si>
  <si>
    <t>반도체공학전공</t>
    <phoneticPr fontId="1" type="noConversion"/>
  </si>
  <si>
    <t>첨단IT자율전공</t>
    <phoneticPr fontId="1" type="noConversion"/>
  </si>
  <si>
    <t>첨단소재자율전공</t>
    <phoneticPr fontId="1" type="noConversion"/>
  </si>
  <si>
    <t>첨단모빌리티자율전공</t>
    <phoneticPr fontId="1" type="noConversion"/>
  </si>
  <si>
    <t>스마트시티전공</t>
    <phoneticPr fontId="1" type="noConversion"/>
  </si>
  <si>
    <t>지구과학교육과</t>
    <phoneticPr fontId="1" type="noConversion"/>
  </si>
  <si>
    <t>첨단융합학부</t>
    <phoneticPr fontId="1" type="noConversion"/>
  </si>
  <si>
    <t>응용생명융합학부</t>
    <phoneticPr fontId="1" type="noConversion"/>
  </si>
  <si>
    <t>인공지능전공</t>
    <phoneticPr fontId="1" type="noConversion"/>
  </si>
  <si>
    <t>미래융합학부1</t>
    <phoneticPr fontId="1" type="noConversion"/>
  </si>
  <si>
    <t>미래융합학부2</t>
    <phoneticPr fontId="1" type="noConversion"/>
  </si>
  <si>
    <t>80점 만점 기준</t>
    <phoneticPr fontId="1" type="noConversion"/>
  </si>
  <si>
    <t>Language &amp; AI융합학부(서울)</t>
    <phoneticPr fontId="1" type="noConversion"/>
  </si>
  <si>
    <t>전자물리학과</t>
    <phoneticPr fontId="1" type="noConversion"/>
  </si>
  <si>
    <t>환경학과</t>
    <phoneticPr fontId="1" type="noConversion"/>
  </si>
  <si>
    <t>바이오메디컬공학부</t>
    <phoneticPr fontId="1" type="noConversion"/>
  </si>
  <si>
    <t>AI데이터융합학부</t>
    <phoneticPr fontId="1" type="noConversion"/>
  </si>
  <si>
    <t>기후변화융합학부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</si>
</sst>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1"/>
      <color theme="1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</font>
  </fonts>
  <fills count="9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/>
      <right style="medium">
        <color rgb="FFDDDDDD"/>
      </right>
      <top/>
      <bottom style="medium">
        <color rgb="FFDDDDDD"/>
      </bottom>
      <diagonal/>
    </border>
  </borders>
  <cellStyleXfs count="1">
    <xf numFmtId="0" fontId="0" fillId="0" borderId="0">
      <alignment vertical="center"/>
    </xf>
  </cellStyleXfs>
  <cellXfs count="6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shrinkToFit="1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center" vertical="center" shrinkToFit="1"/>
    </xf>
    <xf numFmtId="0" fontId="0" fillId="3" borderId="0" xfId="0" applyFill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0" fillId="5" borderId="0" xfId="0" applyFill="1" applyAlignment="1">
      <alignment horizontal="center" vertical="center" shrinkToFit="1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 shrinkToFit="1"/>
    </xf>
    <xf numFmtId="0" fontId="0" fillId="6" borderId="0" xfId="0" applyFill="1" applyAlignment="1">
      <alignment horizontal="center" vertical="center"/>
    </xf>
    <xf numFmtId="0" fontId="0" fillId="0" borderId="0" xfId="0" applyFill="1" applyAlignment="1">
      <alignment horizontal="center" vertical="center" shrinkToFit="1"/>
    </xf>
    <xf numFmtId="0" fontId="0" fillId="0" borderId="0" xfId="0" applyFill="1" applyAlignment="1">
      <alignment horizontal="center" vertical="center"/>
    </xf>
    <xf numFmtId="176" fontId="2" fillId="4" borderId="0" xfId="0" applyNumberFormat="1" applyFont="1" applyFill="1" applyBorder="1" applyAlignment="1">
      <alignment horizontal="center" vertical="center"/>
    </xf>
    <xf numFmtId="176" fontId="2" fillId="3" borderId="0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 shrinkToFit="1"/>
    </xf>
    <xf numFmtId="0" fontId="2" fillId="3" borderId="0" xfId="0" applyFont="1" applyFill="1" applyBorder="1" applyAlignment="1">
      <alignment horizontal="center" vertical="center" shrinkToFit="1"/>
    </xf>
    <xf numFmtId="0" fontId="2" fillId="4" borderId="0" xfId="0" applyFont="1" applyFill="1" applyBorder="1" applyAlignment="1">
      <alignment horizontal="center" vertical="center" shrinkToFit="1"/>
    </xf>
    <xf numFmtId="0" fontId="4" fillId="0" borderId="0" xfId="0" applyFont="1" applyBorder="1" applyAlignment="1">
      <alignment horizontal="center" vertical="center" shrinkToFit="1"/>
    </xf>
    <xf numFmtId="0" fontId="4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shrinkToFit="1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vertical="center" shrinkToFit="1"/>
    </xf>
    <xf numFmtId="2" fontId="0" fillId="3" borderId="0" xfId="0" applyNumberFormat="1" applyFill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0" fontId="3" fillId="3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shrinkToFit="1"/>
    </xf>
    <xf numFmtId="0" fontId="3" fillId="3" borderId="3" xfId="0" applyFont="1" applyFill="1" applyBorder="1" applyAlignment="1">
      <alignment horizontal="center" vertical="center" shrinkToFi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2" fontId="0" fillId="2" borderId="0" xfId="0" applyNumberForma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0" fontId="5" fillId="0" borderId="0" xfId="0" applyFont="1">
      <alignment vertical="center"/>
    </xf>
    <xf numFmtId="0" fontId="5" fillId="5" borderId="0" xfId="0" applyFont="1" applyFill="1" applyBorder="1" applyAlignment="1">
      <alignment horizontal="center" vertical="center" shrinkToFit="1"/>
    </xf>
    <xf numFmtId="0" fontId="5" fillId="5" borderId="0" xfId="0" applyFont="1" applyFill="1" applyBorder="1" applyAlignment="1">
      <alignment horizontal="center" vertical="center"/>
    </xf>
    <xf numFmtId="2" fontId="5" fillId="5" borderId="0" xfId="0" applyNumberFormat="1" applyFont="1" applyFill="1" applyAlignment="1">
      <alignment horizontal="center" vertical="center"/>
    </xf>
    <xf numFmtId="0" fontId="5" fillId="6" borderId="0" xfId="0" applyFont="1" applyFill="1" applyBorder="1" applyAlignment="1">
      <alignment horizontal="center" vertical="center" shrinkToFit="1"/>
    </xf>
    <xf numFmtId="0" fontId="5" fillId="6" borderId="0" xfId="0" applyFont="1" applyFill="1" applyBorder="1" applyAlignment="1">
      <alignment horizontal="center" vertical="center"/>
    </xf>
    <xf numFmtId="2" fontId="5" fillId="6" borderId="0" xfId="0" applyNumberFormat="1" applyFont="1" applyFill="1" applyAlignment="1">
      <alignment horizontal="center" vertical="center"/>
    </xf>
    <xf numFmtId="0" fontId="3" fillId="2" borderId="0" xfId="0" applyFont="1" applyFill="1" applyBorder="1" applyAlignment="1">
      <alignment horizontal="center" vertical="center" shrinkToFit="1"/>
    </xf>
    <xf numFmtId="0" fontId="6" fillId="3" borderId="0" xfId="0" applyFont="1" applyFill="1" applyBorder="1" applyAlignment="1">
      <alignment horizontal="center" vertical="center" shrinkToFit="1"/>
    </xf>
    <xf numFmtId="0" fontId="4" fillId="3" borderId="0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shrinkToFit="1"/>
    </xf>
    <xf numFmtId="0" fontId="3" fillId="4" borderId="0" xfId="0" applyFont="1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 shrinkToFit="1"/>
    </xf>
    <xf numFmtId="0" fontId="0" fillId="7" borderId="0" xfId="0" applyFill="1" applyAlignment="1">
      <alignment horizontal="center" vertical="center"/>
    </xf>
    <xf numFmtId="0" fontId="5" fillId="5" borderId="0" xfId="0" applyFont="1" applyFill="1" applyAlignment="1">
      <alignment horizontal="center" vertical="center" shrinkToFit="1"/>
    </xf>
    <xf numFmtId="0" fontId="5" fillId="5" borderId="0" xfId="0" applyFont="1" applyFill="1" applyAlignment="1">
      <alignment horizontal="center" vertical="center"/>
    </xf>
    <xf numFmtId="0" fontId="5" fillId="5" borderId="0" xfId="0" applyFont="1" applyFill="1">
      <alignment vertical="center"/>
    </xf>
    <xf numFmtId="0" fontId="5" fillId="2" borderId="0" xfId="0" applyFont="1" applyFill="1" applyAlignment="1">
      <alignment horizontal="center" vertical="center" shrinkToFit="1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>
      <alignment vertical="center"/>
    </xf>
    <xf numFmtId="0" fontId="5" fillId="4" borderId="0" xfId="0" applyFont="1" applyFill="1" applyAlignment="1">
      <alignment horizontal="center" vertical="center" shrinkToFit="1"/>
    </xf>
    <xf numFmtId="0" fontId="5" fillId="4" borderId="0" xfId="0" applyFont="1" applyFill="1" applyAlignment="1">
      <alignment horizontal="center" vertical="center"/>
    </xf>
    <xf numFmtId="0" fontId="5" fillId="4" borderId="0" xfId="0" applyFont="1" applyFill="1">
      <alignment vertical="center"/>
    </xf>
    <xf numFmtId="0" fontId="5" fillId="4" borderId="0" xfId="0" applyFont="1" applyFill="1" applyBorder="1" applyAlignment="1">
      <alignment horizontal="center" vertical="center" shrinkToFit="1"/>
    </xf>
    <xf numFmtId="0" fontId="5" fillId="4" borderId="0" xfId="0" applyFont="1" applyFill="1" applyBorder="1" applyAlignment="1">
      <alignment horizontal="center" vertical="center"/>
    </xf>
    <xf numFmtId="2" fontId="5" fillId="4" borderId="0" xfId="0" applyNumberFormat="1" applyFont="1" applyFill="1" applyAlignment="1">
      <alignment horizontal="center" vertical="center"/>
    </xf>
    <xf numFmtId="0" fontId="5" fillId="8" borderId="0" xfId="0" applyFont="1" applyFill="1" applyBorder="1" applyAlignment="1">
      <alignment horizontal="center" vertical="center" shrinkToFit="1"/>
    </xf>
    <xf numFmtId="0" fontId="5" fillId="8" borderId="0" xfId="0" applyFont="1" applyFill="1" applyBorder="1" applyAlignment="1">
      <alignment horizontal="center" vertical="center"/>
    </xf>
    <xf numFmtId="2" fontId="5" fillId="8" borderId="0" xfId="0" applyNumberFormat="1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36DA8-7EB0-4A94-A6E5-9B883E52FA2E}">
  <dimension ref="A1:C46"/>
  <sheetViews>
    <sheetView tabSelected="1" workbookViewId="0">
      <selection activeCell="E8" sqref="E8"/>
    </sheetView>
  </sheetViews>
  <sheetFormatPr defaultRowHeight="17.399999999999999"/>
  <cols>
    <col min="1" max="1" width="18.3984375" style="37" customWidth="1"/>
    <col min="2" max="2" width="11.19921875" style="36" customWidth="1"/>
    <col min="3" max="3" width="8.796875" style="38"/>
  </cols>
  <sheetData>
    <row r="1" spans="1:3">
      <c r="A1" s="37" t="s">
        <v>0</v>
      </c>
      <c r="B1" s="36" t="s">
        <v>1</v>
      </c>
      <c r="C1" s="37" t="s">
        <v>251</v>
      </c>
    </row>
    <row r="2" spans="1:3">
      <c r="A2" s="42" t="s">
        <v>342</v>
      </c>
      <c r="B2" s="43">
        <v>127</v>
      </c>
      <c r="C2" s="44">
        <f t="shared" ref="C2:C46" si="0">B2/1.5</f>
        <v>84.666666666666671</v>
      </c>
    </row>
    <row r="3" spans="1:3">
      <c r="A3" s="64" t="s">
        <v>350</v>
      </c>
      <c r="B3" s="65">
        <v>123</v>
      </c>
      <c r="C3" s="66">
        <f t="shared" si="0"/>
        <v>82</v>
      </c>
    </row>
    <row r="4" spans="1:3">
      <c r="A4" s="39" t="s">
        <v>224</v>
      </c>
      <c r="B4" s="40">
        <v>123</v>
      </c>
      <c r="C4" s="41">
        <f t="shared" si="0"/>
        <v>82</v>
      </c>
    </row>
    <row r="5" spans="1:3">
      <c r="A5" s="61" t="s">
        <v>328</v>
      </c>
      <c r="B5" s="62">
        <v>120</v>
      </c>
      <c r="C5" s="63">
        <f t="shared" si="0"/>
        <v>80</v>
      </c>
    </row>
    <row r="6" spans="1:3">
      <c r="A6" s="42" t="s">
        <v>219</v>
      </c>
      <c r="B6" s="43">
        <v>118.5</v>
      </c>
      <c r="C6" s="44">
        <f t="shared" si="0"/>
        <v>79</v>
      </c>
    </row>
    <row r="7" spans="1:3">
      <c r="A7" s="61" t="s">
        <v>326</v>
      </c>
      <c r="B7" s="62">
        <v>117</v>
      </c>
      <c r="C7" s="63">
        <f t="shared" si="0"/>
        <v>78</v>
      </c>
    </row>
    <row r="8" spans="1:3">
      <c r="A8" s="61" t="s">
        <v>329</v>
      </c>
      <c r="B8" s="62">
        <v>117</v>
      </c>
      <c r="C8" s="63">
        <f t="shared" si="0"/>
        <v>78</v>
      </c>
    </row>
    <row r="9" spans="1:3">
      <c r="A9" s="61" t="s">
        <v>330</v>
      </c>
      <c r="B9" s="62">
        <v>117</v>
      </c>
      <c r="C9" s="63">
        <f t="shared" si="0"/>
        <v>78</v>
      </c>
    </row>
    <row r="10" spans="1:3">
      <c r="A10" s="61" t="s">
        <v>324</v>
      </c>
      <c r="B10" s="62">
        <v>116</v>
      </c>
      <c r="C10" s="63">
        <f t="shared" si="0"/>
        <v>77.333333333333329</v>
      </c>
    </row>
    <row r="11" spans="1:3">
      <c r="A11" s="61" t="s">
        <v>327</v>
      </c>
      <c r="B11" s="62">
        <v>115</v>
      </c>
      <c r="C11" s="63">
        <f t="shared" si="0"/>
        <v>76.666666666666671</v>
      </c>
    </row>
    <row r="12" spans="1:3">
      <c r="A12" s="64" t="s">
        <v>229</v>
      </c>
      <c r="B12" s="65">
        <v>115</v>
      </c>
      <c r="C12" s="66">
        <f t="shared" si="0"/>
        <v>76.666666666666671</v>
      </c>
    </row>
    <row r="13" spans="1:3">
      <c r="A13" s="64" t="s">
        <v>332</v>
      </c>
      <c r="B13" s="65">
        <v>114</v>
      </c>
      <c r="C13" s="66">
        <f t="shared" si="0"/>
        <v>76</v>
      </c>
    </row>
    <row r="14" spans="1:3">
      <c r="A14" s="61" t="s">
        <v>312</v>
      </c>
      <c r="B14" s="62">
        <v>113</v>
      </c>
      <c r="C14" s="63">
        <f t="shared" si="0"/>
        <v>75.333333333333329</v>
      </c>
    </row>
    <row r="15" spans="1:3">
      <c r="A15" s="61" t="s">
        <v>321</v>
      </c>
      <c r="B15" s="62">
        <v>113</v>
      </c>
      <c r="C15" s="63">
        <f t="shared" si="0"/>
        <v>75.333333333333329</v>
      </c>
    </row>
    <row r="16" spans="1:3">
      <c r="A16" s="64" t="s">
        <v>334</v>
      </c>
      <c r="B16" s="65">
        <v>113</v>
      </c>
      <c r="C16" s="66">
        <f t="shared" si="0"/>
        <v>75.333333333333329</v>
      </c>
    </row>
    <row r="17" spans="1:3">
      <c r="A17" s="64" t="s">
        <v>338</v>
      </c>
      <c r="B17" s="65">
        <v>113</v>
      </c>
      <c r="C17" s="66">
        <f t="shared" si="0"/>
        <v>75.333333333333329</v>
      </c>
    </row>
    <row r="18" spans="1:3">
      <c r="A18" s="61" t="s">
        <v>325</v>
      </c>
      <c r="B18" s="62">
        <v>112</v>
      </c>
      <c r="C18" s="63">
        <f t="shared" si="0"/>
        <v>74.666666666666671</v>
      </c>
    </row>
    <row r="19" spans="1:3">
      <c r="A19" s="64" t="s">
        <v>193</v>
      </c>
      <c r="B19" s="65">
        <v>112</v>
      </c>
      <c r="C19" s="66">
        <f t="shared" si="0"/>
        <v>74.666666666666671</v>
      </c>
    </row>
    <row r="20" spans="1:3">
      <c r="A20" s="64" t="s">
        <v>192</v>
      </c>
      <c r="B20" s="65">
        <v>111</v>
      </c>
      <c r="C20" s="66">
        <f t="shared" si="0"/>
        <v>74</v>
      </c>
    </row>
    <row r="21" spans="1:3">
      <c r="A21" s="64" t="s">
        <v>208</v>
      </c>
      <c r="B21" s="65">
        <v>110.5</v>
      </c>
      <c r="C21" s="66">
        <f t="shared" si="0"/>
        <v>73.666666666666671</v>
      </c>
    </row>
    <row r="22" spans="1:3">
      <c r="A22" s="61" t="s">
        <v>322</v>
      </c>
      <c r="B22" s="62">
        <v>110</v>
      </c>
      <c r="C22" s="63">
        <f t="shared" si="0"/>
        <v>73.333333333333329</v>
      </c>
    </row>
    <row r="23" spans="1:3">
      <c r="A23" s="61" t="s">
        <v>323</v>
      </c>
      <c r="B23" s="62">
        <v>110</v>
      </c>
      <c r="C23" s="63">
        <f t="shared" si="0"/>
        <v>73.333333333333329</v>
      </c>
    </row>
    <row r="24" spans="1:3">
      <c r="A24" s="42" t="s">
        <v>347</v>
      </c>
      <c r="B24" s="43">
        <v>110</v>
      </c>
      <c r="C24" s="44">
        <f t="shared" si="0"/>
        <v>73.333333333333329</v>
      </c>
    </row>
    <row r="25" spans="1:3">
      <c r="A25" s="64" t="s">
        <v>333</v>
      </c>
      <c r="B25" s="65">
        <v>109</v>
      </c>
      <c r="C25" s="66">
        <f t="shared" si="0"/>
        <v>72.666666666666671</v>
      </c>
    </row>
    <row r="26" spans="1:3">
      <c r="A26" s="64" t="s">
        <v>343</v>
      </c>
      <c r="B26" s="65">
        <v>109</v>
      </c>
      <c r="C26" s="66">
        <f t="shared" si="0"/>
        <v>72.666666666666671</v>
      </c>
    </row>
    <row r="27" spans="1:3">
      <c r="A27" s="64" t="s">
        <v>351</v>
      </c>
      <c r="B27" s="65">
        <v>109</v>
      </c>
      <c r="C27" s="66">
        <f t="shared" si="0"/>
        <v>72.666666666666671</v>
      </c>
    </row>
    <row r="28" spans="1:3">
      <c r="A28" s="61" t="s">
        <v>319</v>
      </c>
      <c r="B28" s="62">
        <v>108</v>
      </c>
      <c r="C28" s="63">
        <f t="shared" si="0"/>
        <v>72</v>
      </c>
    </row>
    <row r="29" spans="1:3">
      <c r="A29" s="61" t="s">
        <v>320</v>
      </c>
      <c r="B29" s="62">
        <v>108</v>
      </c>
      <c r="C29" s="63">
        <f t="shared" si="0"/>
        <v>72</v>
      </c>
    </row>
    <row r="30" spans="1:3">
      <c r="A30" s="64" t="s">
        <v>335</v>
      </c>
      <c r="B30" s="65">
        <v>108</v>
      </c>
      <c r="C30" s="66">
        <f t="shared" si="0"/>
        <v>72</v>
      </c>
    </row>
    <row r="31" spans="1:3">
      <c r="A31" s="64" t="s">
        <v>336</v>
      </c>
      <c r="B31" s="65">
        <v>108</v>
      </c>
      <c r="C31" s="66">
        <f t="shared" si="0"/>
        <v>72</v>
      </c>
    </row>
    <row r="32" spans="1:3">
      <c r="A32" s="64" t="s">
        <v>187</v>
      </c>
      <c r="B32" s="65">
        <v>108</v>
      </c>
      <c r="C32" s="66">
        <f t="shared" si="0"/>
        <v>72</v>
      </c>
    </row>
    <row r="33" spans="1:3">
      <c r="A33" s="64" t="s">
        <v>337</v>
      </c>
      <c r="B33" s="65">
        <v>107</v>
      </c>
      <c r="C33" s="66">
        <f t="shared" si="0"/>
        <v>71.333333333333329</v>
      </c>
    </row>
    <row r="34" spans="1:3">
      <c r="A34" s="64" t="s">
        <v>339</v>
      </c>
      <c r="B34" s="65">
        <v>107</v>
      </c>
      <c r="C34" s="66">
        <f t="shared" si="0"/>
        <v>71.333333333333329</v>
      </c>
    </row>
    <row r="35" spans="1:3">
      <c r="A35" s="64" t="s">
        <v>344</v>
      </c>
      <c r="B35" s="65">
        <v>107</v>
      </c>
      <c r="C35" s="66">
        <f t="shared" si="0"/>
        <v>71.333333333333329</v>
      </c>
    </row>
    <row r="36" spans="1:3">
      <c r="A36" s="64" t="s">
        <v>346</v>
      </c>
      <c r="B36" s="65">
        <v>107</v>
      </c>
      <c r="C36" s="66">
        <f t="shared" si="0"/>
        <v>71.333333333333329</v>
      </c>
    </row>
    <row r="37" spans="1:3">
      <c r="A37" s="64" t="s">
        <v>352</v>
      </c>
      <c r="B37" s="65">
        <v>107</v>
      </c>
      <c r="C37" s="66">
        <f t="shared" si="0"/>
        <v>71.333333333333329</v>
      </c>
    </row>
    <row r="38" spans="1:3">
      <c r="A38" s="64" t="s">
        <v>233</v>
      </c>
      <c r="B38" s="65">
        <v>106</v>
      </c>
      <c r="C38" s="66">
        <f t="shared" si="0"/>
        <v>70.666666666666671</v>
      </c>
    </row>
    <row r="39" spans="1:3">
      <c r="A39" s="61" t="s">
        <v>314</v>
      </c>
      <c r="B39" s="62">
        <v>105.5</v>
      </c>
      <c r="C39" s="63">
        <f t="shared" si="0"/>
        <v>70.333333333333329</v>
      </c>
    </row>
    <row r="40" spans="1:3">
      <c r="A40" s="64" t="s">
        <v>353</v>
      </c>
      <c r="B40" s="65">
        <v>105</v>
      </c>
      <c r="C40" s="66">
        <f t="shared" si="0"/>
        <v>70</v>
      </c>
    </row>
    <row r="41" spans="1:3">
      <c r="A41" s="64" t="s">
        <v>331</v>
      </c>
      <c r="B41" s="65">
        <v>104.5</v>
      </c>
      <c r="C41" s="66">
        <f t="shared" si="0"/>
        <v>69.666666666666671</v>
      </c>
    </row>
    <row r="42" spans="1:3">
      <c r="A42" s="64" t="s">
        <v>340</v>
      </c>
      <c r="B42" s="65">
        <v>104</v>
      </c>
      <c r="C42" s="66">
        <f t="shared" si="0"/>
        <v>69.333333333333329</v>
      </c>
    </row>
    <row r="43" spans="1:3">
      <c r="A43" s="64" t="s">
        <v>341</v>
      </c>
      <c r="B43" s="65">
        <v>104</v>
      </c>
      <c r="C43" s="66">
        <f t="shared" si="0"/>
        <v>69.333333333333329</v>
      </c>
    </row>
    <row r="44" spans="1:3">
      <c r="A44" s="64" t="s">
        <v>348</v>
      </c>
      <c r="B44" s="65">
        <v>104</v>
      </c>
      <c r="C44" s="66">
        <f t="shared" si="0"/>
        <v>69.333333333333329</v>
      </c>
    </row>
    <row r="45" spans="1:3">
      <c r="A45" s="64" t="s">
        <v>349</v>
      </c>
      <c r="B45" s="65">
        <v>103</v>
      </c>
      <c r="C45" s="66">
        <f t="shared" si="0"/>
        <v>68.666666666666671</v>
      </c>
    </row>
    <row r="46" spans="1:3">
      <c r="A46" s="64" t="s">
        <v>345</v>
      </c>
      <c r="B46" s="65">
        <v>102</v>
      </c>
      <c r="C46" s="66">
        <f t="shared" si="0"/>
        <v>68</v>
      </c>
    </row>
  </sheetData>
  <autoFilter ref="A1:C46" xr:uid="{89E36DA8-7EB0-4A94-A6E5-9B883E52FA2E}">
    <sortState xmlns:xlrd2="http://schemas.microsoft.com/office/spreadsheetml/2017/richdata2" ref="A2:C46">
      <sortCondition descending="1" ref="C1:C46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6DE99-222B-4A37-87B6-2C73827FA5D5}">
  <dimension ref="A1:C17"/>
  <sheetViews>
    <sheetView workbookViewId="0">
      <selection activeCell="C15" sqref="C15"/>
    </sheetView>
  </sheetViews>
  <sheetFormatPr defaultRowHeight="17.399999999999999"/>
  <cols>
    <col min="1" max="1" width="18.3984375" style="37" customWidth="1"/>
    <col min="2" max="2" width="11.19921875" style="36" customWidth="1"/>
    <col min="3" max="3" width="8.796875" style="38"/>
  </cols>
  <sheetData>
    <row r="1" spans="1:3">
      <c r="A1" s="37" t="s">
        <v>0</v>
      </c>
      <c r="B1" s="36" t="s">
        <v>1</v>
      </c>
      <c r="C1" s="37" t="s">
        <v>251</v>
      </c>
    </row>
    <row r="2" spans="1:3">
      <c r="A2" s="52" t="s">
        <v>184</v>
      </c>
      <c r="B2" s="53">
        <v>91.65</v>
      </c>
      <c r="C2" s="54"/>
    </row>
    <row r="3" spans="1:3">
      <c r="A3" s="58" t="s">
        <v>379</v>
      </c>
      <c r="B3" s="59">
        <v>99.81</v>
      </c>
      <c r="C3" s="60"/>
    </row>
    <row r="4" spans="1:3">
      <c r="A4" s="58" t="s">
        <v>380</v>
      </c>
      <c r="B4" s="59">
        <v>99.84</v>
      </c>
      <c r="C4" s="60"/>
    </row>
    <row r="5" spans="1:3">
      <c r="A5" s="58" t="s">
        <v>381</v>
      </c>
      <c r="B5" s="59">
        <v>99.79</v>
      </c>
      <c r="C5" s="60"/>
    </row>
    <row r="6" spans="1:3">
      <c r="A6" s="58" t="s">
        <v>382</v>
      </c>
      <c r="B6" s="59">
        <v>99.85</v>
      </c>
      <c r="C6" s="60"/>
    </row>
    <row r="7" spans="1:3">
      <c r="A7" s="55" t="s">
        <v>383</v>
      </c>
      <c r="B7" s="56">
        <v>90.63</v>
      </c>
      <c r="C7" s="57"/>
    </row>
    <row r="8" spans="1:3">
      <c r="A8" s="55" t="s">
        <v>384</v>
      </c>
      <c r="B8" s="56">
        <v>90.23</v>
      </c>
      <c r="C8" s="57"/>
    </row>
    <row r="9" spans="1:3">
      <c r="A9" s="55" t="s">
        <v>385</v>
      </c>
      <c r="B9" s="56">
        <v>91.27</v>
      </c>
      <c r="C9" s="57"/>
    </row>
    <row r="10" spans="1:3">
      <c r="A10" s="55" t="s">
        <v>386</v>
      </c>
      <c r="B10" s="56">
        <v>85.64</v>
      </c>
      <c r="C10" s="57"/>
    </row>
    <row r="11" spans="1:3">
      <c r="A11" s="58" t="s">
        <v>368</v>
      </c>
      <c r="B11" s="59">
        <v>99.71</v>
      </c>
      <c r="C11" s="60"/>
    </row>
    <row r="12" spans="1:3">
      <c r="A12" s="58" t="s">
        <v>387</v>
      </c>
      <c r="B12" s="59">
        <v>100</v>
      </c>
      <c r="C12" s="60"/>
    </row>
    <row r="13" spans="1:3">
      <c r="A13" s="58" t="s">
        <v>388</v>
      </c>
      <c r="B13" s="59">
        <v>99</v>
      </c>
      <c r="C13" s="60"/>
    </row>
    <row r="14" spans="1:3">
      <c r="A14" s="58" t="s">
        <v>389</v>
      </c>
      <c r="B14" s="59">
        <v>98.25</v>
      </c>
      <c r="C14" s="60"/>
    </row>
    <row r="15" spans="1:3">
      <c r="A15" s="58" t="s">
        <v>390</v>
      </c>
      <c r="B15" s="59">
        <v>84.97</v>
      </c>
      <c r="C15" s="60"/>
    </row>
    <row r="16" spans="1:3">
      <c r="A16" s="58" t="s">
        <v>391</v>
      </c>
      <c r="B16" s="59">
        <v>93.98</v>
      </c>
      <c r="C16" s="60"/>
    </row>
    <row r="17" spans="1:3">
      <c r="A17" s="58" t="s">
        <v>392</v>
      </c>
      <c r="B17" s="59">
        <v>95.22</v>
      </c>
      <c r="C17" s="60"/>
    </row>
  </sheetData>
  <autoFilter ref="A1:C1" xr:uid="{89E36DA8-7EB0-4A94-A6E5-9B883E52FA2E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36973-E240-4191-A0C7-747CA7762B04}">
  <dimension ref="A1:C44"/>
  <sheetViews>
    <sheetView workbookViewId="0">
      <selection activeCell="C1" sqref="C1"/>
    </sheetView>
  </sheetViews>
  <sheetFormatPr defaultRowHeight="17.399999999999999"/>
  <cols>
    <col min="1" max="1" width="20.8984375" style="2" customWidth="1"/>
    <col min="2" max="2" width="11.19921875" style="1" customWidth="1"/>
    <col min="3" max="3" width="8.796875" style="1"/>
  </cols>
  <sheetData>
    <row r="1" spans="1:3">
      <c r="A1" s="2" t="s">
        <v>0</v>
      </c>
      <c r="B1" s="1" t="s">
        <v>1</v>
      </c>
      <c r="C1" s="2" t="s">
        <v>251</v>
      </c>
    </row>
    <row r="2" spans="1:3">
      <c r="A2" s="18" t="s">
        <v>35</v>
      </c>
      <c r="B2" s="16">
        <v>230.17</v>
      </c>
      <c r="C2" s="25">
        <f>(B2/350)*100</f>
        <v>65.762857142857129</v>
      </c>
    </row>
    <row r="3" spans="1:3">
      <c r="A3" s="18" t="s">
        <v>209</v>
      </c>
      <c r="B3" s="16">
        <v>188.3</v>
      </c>
      <c r="C3" s="25">
        <f t="shared" ref="C3:C44" si="0">(B3/350)*100</f>
        <v>53.800000000000004</v>
      </c>
    </row>
    <row r="4" spans="1:3">
      <c r="A4" s="18" t="s">
        <v>219</v>
      </c>
      <c r="B4" s="16">
        <v>153.71</v>
      </c>
      <c r="C4" s="25">
        <f t="shared" si="0"/>
        <v>43.917142857142863</v>
      </c>
    </row>
    <row r="5" spans="1:3">
      <c r="A5" s="19" t="s">
        <v>225</v>
      </c>
      <c r="B5" s="15">
        <v>152.5</v>
      </c>
      <c r="C5" s="25">
        <f t="shared" si="0"/>
        <v>43.571428571428569</v>
      </c>
    </row>
    <row r="6" spans="1:3">
      <c r="A6" s="18" t="s">
        <v>222</v>
      </c>
      <c r="B6" s="16">
        <v>146.63</v>
      </c>
      <c r="C6" s="25">
        <f t="shared" si="0"/>
        <v>41.894285714285715</v>
      </c>
    </row>
    <row r="7" spans="1:3">
      <c r="A7" s="19" t="s">
        <v>224</v>
      </c>
      <c r="B7" s="15">
        <v>146</v>
      </c>
      <c r="C7" s="25">
        <f t="shared" si="0"/>
        <v>41.714285714285715</v>
      </c>
    </row>
    <row r="8" spans="1:3">
      <c r="A8" s="19" t="s">
        <v>226</v>
      </c>
      <c r="B8" s="15">
        <v>143.91999999999999</v>
      </c>
      <c r="C8" s="25">
        <f t="shared" si="0"/>
        <v>41.12</v>
      </c>
    </row>
    <row r="9" spans="1:3">
      <c r="A9" s="18" t="s">
        <v>203</v>
      </c>
      <c r="B9" s="16">
        <v>140</v>
      </c>
      <c r="C9" s="25">
        <f t="shared" si="0"/>
        <v>40</v>
      </c>
    </row>
    <row r="10" spans="1:3">
      <c r="A10" s="18" t="s">
        <v>189</v>
      </c>
      <c r="B10" s="16">
        <v>138.5</v>
      </c>
      <c r="C10" s="25">
        <f t="shared" si="0"/>
        <v>39.571428571428577</v>
      </c>
    </row>
    <row r="11" spans="1:3">
      <c r="A11" s="17" t="s">
        <v>205</v>
      </c>
      <c r="B11" s="16">
        <v>134.69</v>
      </c>
      <c r="C11" s="25">
        <f t="shared" si="0"/>
        <v>38.482857142857142</v>
      </c>
    </row>
    <row r="12" spans="1:3">
      <c r="A12" s="18" t="s">
        <v>191</v>
      </c>
      <c r="B12" s="16">
        <v>134.44999999999999</v>
      </c>
      <c r="C12" s="25">
        <f t="shared" si="0"/>
        <v>38.414285714285711</v>
      </c>
    </row>
    <row r="13" spans="1:3">
      <c r="A13" s="18" t="s">
        <v>192</v>
      </c>
      <c r="B13" s="16">
        <v>133.16999999999999</v>
      </c>
      <c r="C13" s="25">
        <f t="shared" si="0"/>
        <v>38.048571428571428</v>
      </c>
    </row>
    <row r="14" spans="1:3">
      <c r="A14" s="18" t="s">
        <v>190</v>
      </c>
      <c r="B14" s="16">
        <v>133.13</v>
      </c>
      <c r="C14" s="25">
        <f t="shared" si="0"/>
        <v>38.037142857142861</v>
      </c>
    </row>
    <row r="15" spans="1:3">
      <c r="A15" s="18" t="s">
        <v>193</v>
      </c>
      <c r="B15" s="16">
        <v>131.6</v>
      </c>
      <c r="C15" s="25">
        <f t="shared" si="0"/>
        <v>37.6</v>
      </c>
    </row>
    <row r="16" spans="1:3">
      <c r="A16" s="17" t="s">
        <v>211</v>
      </c>
      <c r="B16" s="16">
        <v>129.94999999999999</v>
      </c>
      <c r="C16" s="25">
        <f t="shared" si="0"/>
        <v>37.128571428571426</v>
      </c>
    </row>
    <row r="17" spans="1:3">
      <c r="A17" s="17" t="s">
        <v>212</v>
      </c>
      <c r="B17" s="16">
        <v>126.63</v>
      </c>
      <c r="C17" s="25">
        <f t="shared" si="0"/>
        <v>36.18</v>
      </c>
    </row>
    <row r="18" spans="1:3">
      <c r="A18" s="18" t="s">
        <v>197</v>
      </c>
      <c r="B18" s="16">
        <v>125.93</v>
      </c>
      <c r="C18" s="25">
        <f t="shared" si="0"/>
        <v>35.980000000000004</v>
      </c>
    </row>
    <row r="19" spans="1:3">
      <c r="A19" s="17" t="s">
        <v>206</v>
      </c>
      <c r="B19" s="16">
        <v>125.43</v>
      </c>
      <c r="C19" s="25">
        <f t="shared" si="0"/>
        <v>35.837142857142865</v>
      </c>
    </row>
    <row r="20" spans="1:3">
      <c r="A20" s="18" t="s">
        <v>196</v>
      </c>
      <c r="B20" s="16">
        <v>122.83</v>
      </c>
      <c r="C20" s="25">
        <f t="shared" si="0"/>
        <v>35.094285714285711</v>
      </c>
    </row>
    <row r="21" spans="1:3">
      <c r="A21" s="18" t="s">
        <v>185</v>
      </c>
      <c r="B21" s="16">
        <v>122.55</v>
      </c>
      <c r="C21" s="25">
        <f t="shared" si="0"/>
        <v>35.014285714285712</v>
      </c>
    </row>
    <row r="22" spans="1:3">
      <c r="A22" s="18" t="s">
        <v>202</v>
      </c>
      <c r="B22" s="16">
        <v>120.17</v>
      </c>
      <c r="C22" s="25">
        <f t="shared" si="0"/>
        <v>34.33428571428572</v>
      </c>
    </row>
    <row r="23" spans="1:3">
      <c r="A23" s="18" t="s">
        <v>187</v>
      </c>
      <c r="B23" s="16">
        <v>119.67</v>
      </c>
      <c r="C23" s="25">
        <f t="shared" si="0"/>
        <v>34.191428571428574</v>
      </c>
    </row>
    <row r="24" spans="1:3">
      <c r="A24" s="18" t="s">
        <v>186</v>
      </c>
      <c r="B24" s="16">
        <v>119.35</v>
      </c>
      <c r="C24" s="25">
        <f t="shared" si="0"/>
        <v>34.099999999999994</v>
      </c>
    </row>
    <row r="25" spans="1:3">
      <c r="A25" s="17" t="s">
        <v>210</v>
      </c>
      <c r="B25" s="16">
        <v>118</v>
      </c>
      <c r="C25" s="25">
        <f t="shared" si="0"/>
        <v>33.714285714285715</v>
      </c>
    </row>
    <row r="26" spans="1:3">
      <c r="A26" s="18" t="s">
        <v>201</v>
      </c>
      <c r="B26" s="16">
        <v>114.67</v>
      </c>
      <c r="C26" s="25">
        <f t="shared" si="0"/>
        <v>32.762857142857143</v>
      </c>
    </row>
    <row r="27" spans="1:3">
      <c r="A27" s="18" t="s">
        <v>218</v>
      </c>
      <c r="B27" s="16">
        <v>114.5</v>
      </c>
      <c r="C27" s="25">
        <f t="shared" si="0"/>
        <v>32.714285714285715</v>
      </c>
    </row>
    <row r="28" spans="1:3">
      <c r="A28" s="17" t="s">
        <v>208</v>
      </c>
      <c r="B28" s="16">
        <v>113.35</v>
      </c>
      <c r="C28" s="25">
        <f t="shared" si="0"/>
        <v>32.385714285714286</v>
      </c>
    </row>
    <row r="29" spans="1:3">
      <c r="A29" s="18" t="s">
        <v>221</v>
      </c>
      <c r="B29" s="16">
        <v>112.19</v>
      </c>
      <c r="C29" s="25">
        <f t="shared" si="0"/>
        <v>32.054285714285712</v>
      </c>
    </row>
    <row r="30" spans="1:3">
      <c r="A30" s="18" t="s">
        <v>194</v>
      </c>
      <c r="B30" s="16">
        <v>112.17</v>
      </c>
      <c r="C30" s="25">
        <f t="shared" si="0"/>
        <v>32.048571428571435</v>
      </c>
    </row>
    <row r="31" spans="1:3">
      <c r="A31" s="18" t="s">
        <v>223</v>
      </c>
      <c r="B31" s="16">
        <v>110.88</v>
      </c>
      <c r="C31" s="25">
        <f t="shared" si="0"/>
        <v>31.679999999999996</v>
      </c>
    </row>
    <row r="32" spans="1:3">
      <c r="A32" s="18" t="s">
        <v>220</v>
      </c>
      <c r="B32" s="16">
        <v>108.09</v>
      </c>
      <c r="C32" s="25">
        <f t="shared" si="0"/>
        <v>30.882857142857144</v>
      </c>
    </row>
    <row r="33" spans="1:3">
      <c r="A33" s="18" t="s">
        <v>198</v>
      </c>
      <c r="B33" s="16">
        <v>104.5</v>
      </c>
      <c r="C33" s="25">
        <f t="shared" si="0"/>
        <v>29.857142857142861</v>
      </c>
    </row>
    <row r="34" spans="1:3">
      <c r="A34" s="18" t="s">
        <v>188</v>
      </c>
      <c r="B34" s="16">
        <v>98.36</v>
      </c>
      <c r="C34" s="25">
        <f t="shared" si="0"/>
        <v>28.10285714285714</v>
      </c>
    </row>
    <row r="35" spans="1:3">
      <c r="A35" s="18" t="s">
        <v>195</v>
      </c>
      <c r="B35" s="16">
        <v>97.25</v>
      </c>
      <c r="C35" s="25">
        <f t="shared" si="0"/>
        <v>27.785714285714285</v>
      </c>
    </row>
    <row r="36" spans="1:3">
      <c r="A36" s="18" t="s">
        <v>199</v>
      </c>
      <c r="B36" s="16">
        <v>96.05</v>
      </c>
      <c r="C36" s="25">
        <f t="shared" si="0"/>
        <v>27.44285714285714</v>
      </c>
    </row>
    <row r="37" spans="1:3">
      <c r="A37" s="18" t="s">
        <v>200</v>
      </c>
      <c r="B37" s="16">
        <v>95.42</v>
      </c>
      <c r="C37" s="25">
        <f t="shared" si="0"/>
        <v>27.262857142857143</v>
      </c>
    </row>
    <row r="38" spans="1:3">
      <c r="A38" s="17" t="s">
        <v>214</v>
      </c>
      <c r="B38" s="16">
        <v>91.88</v>
      </c>
      <c r="C38" s="25">
        <f t="shared" si="0"/>
        <v>26.251428571428569</v>
      </c>
    </row>
    <row r="39" spans="1:3">
      <c r="A39" s="18" t="s">
        <v>204</v>
      </c>
      <c r="B39" s="16">
        <v>91.15</v>
      </c>
      <c r="C39" s="25">
        <f t="shared" si="0"/>
        <v>26.042857142857144</v>
      </c>
    </row>
    <row r="40" spans="1:3">
      <c r="A40" s="17" t="s">
        <v>215</v>
      </c>
      <c r="B40" s="16">
        <v>90.17</v>
      </c>
      <c r="C40" s="25">
        <f t="shared" si="0"/>
        <v>25.762857142857143</v>
      </c>
    </row>
    <row r="41" spans="1:3">
      <c r="A41" s="17" t="s">
        <v>217</v>
      </c>
      <c r="B41" s="16">
        <v>75.17</v>
      </c>
      <c r="C41" s="25">
        <f t="shared" si="0"/>
        <v>21.477142857142859</v>
      </c>
    </row>
    <row r="42" spans="1:3">
      <c r="A42" s="17" t="s">
        <v>207</v>
      </c>
      <c r="B42" s="16">
        <v>73.75</v>
      </c>
      <c r="C42" s="25">
        <f t="shared" si="0"/>
        <v>21.071428571428573</v>
      </c>
    </row>
    <row r="43" spans="1:3">
      <c r="A43" s="17" t="s">
        <v>216</v>
      </c>
      <c r="B43" s="16">
        <v>66.67</v>
      </c>
      <c r="C43" s="25">
        <f t="shared" si="0"/>
        <v>19.048571428571428</v>
      </c>
    </row>
    <row r="44" spans="1:3">
      <c r="A44" s="17" t="s">
        <v>213</v>
      </c>
      <c r="B44" s="16">
        <v>60.17</v>
      </c>
      <c r="C44" s="25">
        <f t="shared" si="0"/>
        <v>17.19142857142857</v>
      </c>
    </row>
  </sheetData>
  <autoFilter ref="A1:C44" xr:uid="{FFF36973-E240-4191-A0C7-747CA7762B04}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82914-43DE-4548-926F-FC0882DB6672}">
  <dimension ref="A1:B38"/>
  <sheetViews>
    <sheetView workbookViewId="0">
      <selection activeCell="B1" sqref="B1"/>
    </sheetView>
  </sheetViews>
  <sheetFormatPr defaultRowHeight="17.399999999999999"/>
  <cols>
    <col min="1" max="1" width="18.3984375" style="2" customWidth="1"/>
    <col min="2" max="2" width="11.19921875" style="1" customWidth="1"/>
  </cols>
  <sheetData>
    <row r="1" spans="1:2">
      <c r="A1" s="2" t="s">
        <v>0</v>
      </c>
      <c r="B1" s="1" t="s">
        <v>1</v>
      </c>
    </row>
    <row r="2" spans="1:2">
      <c r="A2" s="9" t="s">
        <v>76</v>
      </c>
      <c r="B2" s="10">
        <v>100</v>
      </c>
    </row>
    <row r="3" spans="1:2">
      <c r="A3" s="9" t="s">
        <v>93</v>
      </c>
      <c r="B3" s="10">
        <v>100</v>
      </c>
    </row>
    <row r="4" spans="1:2">
      <c r="A4" s="9" t="s">
        <v>89</v>
      </c>
      <c r="B4" s="10">
        <v>99.5</v>
      </c>
    </row>
    <row r="5" spans="1:2">
      <c r="A5" s="8" t="s">
        <v>2</v>
      </c>
      <c r="B5" s="5">
        <v>99.4</v>
      </c>
    </row>
    <row r="6" spans="1:2">
      <c r="A6" s="8" t="s">
        <v>96</v>
      </c>
      <c r="B6" s="5">
        <v>99.4</v>
      </c>
    </row>
    <row r="7" spans="1:2">
      <c r="A7" s="8" t="s">
        <v>100</v>
      </c>
      <c r="B7" s="5">
        <v>99.3</v>
      </c>
    </row>
    <row r="8" spans="1:2">
      <c r="A8" s="8" t="s">
        <v>86</v>
      </c>
      <c r="B8" s="5">
        <v>99</v>
      </c>
    </row>
    <row r="9" spans="1:2">
      <c r="A9" s="8" t="s">
        <v>82</v>
      </c>
      <c r="B9" s="5">
        <v>99</v>
      </c>
    </row>
    <row r="10" spans="1:2">
      <c r="A10" s="9" t="s">
        <v>92</v>
      </c>
      <c r="B10" s="10">
        <v>98.8</v>
      </c>
    </row>
    <row r="11" spans="1:2">
      <c r="A11" s="8" t="s">
        <v>78</v>
      </c>
      <c r="B11" s="5">
        <v>98.7</v>
      </c>
    </row>
    <row r="12" spans="1:2">
      <c r="A12" s="8" t="s">
        <v>16</v>
      </c>
      <c r="B12" s="5">
        <v>98.4</v>
      </c>
    </row>
    <row r="13" spans="1:2">
      <c r="A13" s="6" t="s">
        <v>83</v>
      </c>
      <c r="B13" s="3">
        <v>98.3</v>
      </c>
    </row>
    <row r="14" spans="1:2">
      <c r="A14" s="9" t="s">
        <v>13</v>
      </c>
      <c r="B14" s="10">
        <v>98.2</v>
      </c>
    </row>
    <row r="15" spans="1:2">
      <c r="A15" s="8" t="s">
        <v>71</v>
      </c>
      <c r="B15" s="5">
        <v>98.1</v>
      </c>
    </row>
    <row r="16" spans="1:2">
      <c r="A16" s="2" t="s">
        <v>98</v>
      </c>
      <c r="B16" s="1">
        <v>98.1</v>
      </c>
    </row>
    <row r="17" spans="1:2">
      <c r="A17" s="8" t="s">
        <v>99</v>
      </c>
      <c r="B17" s="5">
        <v>98.1</v>
      </c>
    </row>
    <row r="18" spans="1:2">
      <c r="A18" s="8" t="s">
        <v>85</v>
      </c>
      <c r="B18" s="5">
        <v>97.9</v>
      </c>
    </row>
    <row r="19" spans="1:2">
      <c r="A19" s="9" t="s">
        <v>74</v>
      </c>
      <c r="B19" s="10">
        <v>97.7</v>
      </c>
    </row>
    <row r="20" spans="1:2">
      <c r="A20" s="9" t="s">
        <v>87</v>
      </c>
      <c r="B20" s="10">
        <v>97.6</v>
      </c>
    </row>
    <row r="21" spans="1:2">
      <c r="A21" s="8" t="s">
        <v>94</v>
      </c>
      <c r="B21" s="5">
        <v>97.5</v>
      </c>
    </row>
    <row r="22" spans="1:2">
      <c r="A22" s="8" t="s">
        <v>18</v>
      </c>
      <c r="B22" s="5">
        <v>97.4</v>
      </c>
    </row>
    <row r="23" spans="1:2">
      <c r="A23" s="8" t="s">
        <v>104</v>
      </c>
      <c r="B23" s="5">
        <v>97.4</v>
      </c>
    </row>
    <row r="24" spans="1:2">
      <c r="A24" s="8" t="s">
        <v>101</v>
      </c>
      <c r="B24" s="5">
        <v>97.3</v>
      </c>
    </row>
    <row r="25" spans="1:2">
      <c r="A25" s="8" t="s">
        <v>91</v>
      </c>
      <c r="B25" s="5">
        <v>97.1</v>
      </c>
    </row>
    <row r="26" spans="1:2">
      <c r="A26" s="9" t="s">
        <v>14</v>
      </c>
      <c r="B26" s="10">
        <v>96.9</v>
      </c>
    </row>
    <row r="27" spans="1:2">
      <c r="A27" s="8" t="s">
        <v>84</v>
      </c>
      <c r="B27" s="5">
        <v>96.8</v>
      </c>
    </row>
    <row r="28" spans="1:2">
      <c r="A28" s="9" t="s">
        <v>12</v>
      </c>
      <c r="B28" s="10">
        <v>96.8</v>
      </c>
    </row>
    <row r="29" spans="1:2">
      <c r="A29" s="8" t="s">
        <v>70</v>
      </c>
      <c r="B29" s="5">
        <v>96.7</v>
      </c>
    </row>
    <row r="30" spans="1:2">
      <c r="A30" s="8" t="s">
        <v>105</v>
      </c>
      <c r="B30" s="5">
        <v>96.6</v>
      </c>
    </row>
    <row r="31" spans="1:2">
      <c r="A31" s="9" t="s">
        <v>90</v>
      </c>
      <c r="B31" s="10">
        <v>96</v>
      </c>
    </row>
    <row r="32" spans="1:2">
      <c r="A32" s="9" t="s">
        <v>45</v>
      </c>
      <c r="B32" s="10">
        <v>95.7</v>
      </c>
    </row>
    <row r="33" spans="1:2">
      <c r="A33" s="8" t="s">
        <v>97</v>
      </c>
      <c r="B33" s="5">
        <v>93.6</v>
      </c>
    </row>
    <row r="34" spans="1:2">
      <c r="A34" s="8" t="s">
        <v>95</v>
      </c>
      <c r="B34" s="5">
        <v>93.5</v>
      </c>
    </row>
    <row r="35" spans="1:2">
      <c r="A35" s="6" t="s">
        <v>103</v>
      </c>
      <c r="B35" s="3">
        <v>90</v>
      </c>
    </row>
    <row r="36" spans="1:2">
      <c r="A36" s="9" t="s">
        <v>88</v>
      </c>
      <c r="B36" s="10">
        <v>88.6</v>
      </c>
    </row>
    <row r="37" spans="1:2">
      <c r="A37" s="7" t="s">
        <v>102</v>
      </c>
      <c r="B37" s="4">
        <v>83.1</v>
      </c>
    </row>
    <row r="38" spans="1:2">
      <c r="A38" s="6" t="s">
        <v>35</v>
      </c>
      <c r="B38" s="3">
        <v>75.7</v>
      </c>
    </row>
  </sheetData>
  <autoFilter ref="A1:B38" xr:uid="{44D82914-43DE-4548-926F-FC0882DB6672}">
    <sortState xmlns:xlrd2="http://schemas.microsoft.com/office/spreadsheetml/2017/richdata2" ref="A2:B38">
      <sortCondition descending="1" ref="B1:B38"/>
    </sortState>
  </autoFilter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8BE39-6361-44B6-8619-3A2DADEC4590}">
  <dimension ref="A1:B18"/>
  <sheetViews>
    <sheetView workbookViewId="0">
      <selection activeCell="A8" sqref="A8"/>
    </sheetView>
  </sheetViews>
  <sheetFormatPr defaultRowHeight="17.399999999999999"/>
  <cols>
    <col min="1" max="1" width="18.3984375" style="1" customWidth="1"/>
    <col min="2" max="2" width="11.19921875" style="1" customWidth="1"/>
  </cols>
  <sheetData>
    <row r="1" spans="1:2">
      <c r="A1" s="1" t="s">
        <v>0</v>
      </c>
      <c r="B1" s="1" t="s">
        <v>1</v>
      </c>
    </row>
    <row r="2" spans="1:2">
      <c r="A2" s="4" t="s">
        <v>14</v>
      </c>
      <c r="B2" s="4">
        <v>85.14</v>
      </c>
    </row>
    <row r="3" spans="1:2">
      <c r="A3" s="4" t="s">
        <v>2</v>
      </c>
      <c r="B3" s="4">
        <v>84.57</v>
      </c>
    </row>
    <row r="4" spans="1:2">
      <c r="A4" s="4" t="s">
        <v>7</v>
      </c>
      <c r="B4" s="4">
        <v>80.569999999999993</v>
      </c>
    </row>
    <row r="5" spans="1:2">
      <c r="A5" s="4" t="s">
        <v>5</v>
      </c>
      <c r="B5" s="4">
        <v>78.86</v>
      </c>
    </row>
    <row r="6" spans="1:2">
      <c r="A6" s="5" t="s">
        <v>11</v>
      </c>
      <c r="B6" s="5">
        <v>78.290000000000006</v>
      </c>
    </row>
    <row r="7" spans="1:2">
      <c r="A7" s="4" t="s">
        <v>4</v>
      </c>
      <c r="B7" s="4">
        <v>77.709999999999994</v>
      </c>
    </row>
    <row r="8" spans="1:2">
      <c r="A8" s="5" t="s">
        <v>16</v>
      </c>
      <c r="B8" s="5">
        <v>76.569999999999993</v>
      </c>
    </row>
    <row r="9" spans="1:2">
      <c r="A9" s="4" t="s">
        <v>6</v>
      </c>
      <c r="B9" s="4">
        <v>76</v>
      </c>
    </row>
    <row r="10" spans="1:2">
      <c r="A10" s="5" t="s">
        <v>18</v>
      </c>
      <c r="B10" s="5">
        <v>76</v>
      </c>
    </row>
    <row r="11" spans="1:2">
      <c r="A11" s="5" t="s">
        <v>15</v>
      </c>
      <c r="B11" s="5">
        <v>75.430000000000007</v>
      </c>
    </row>
    <row r="12" spans="1:2">
      <c r="A12" s="4" t="s">
        <v>3</v>
      </c>
      <c r="B12" s="4">
        <v>74.86</v>
      </c>
    </row>
    <row r="13" spans="1:2">
      <c r="A13" s="5" t="s">
        <v>9</v>
      </c>
      <c r="B13" s="5">
        <v>74.290000000000006</v>
      </c>
    </row>
    <row r="14" spans="1:2">
      <c r="A14" s="5" t="s">
        <v>17</v>
      </c>
      <c r="B14" s="5">
        <v>73.709999999999994</v>
      </c>
    </row>
    <row r="15" spans="1:2">
      <c r="A15" s="5" t="s">
        <v>13</v>
      </c>
      <c r="B15" s="5">
        <v>73.14</v>
      </c>
    </row>
    <row r="16" spans="1:2">
      <c r="A16" s="5" t="s">
        <v>10</v>
      </c>
      <c r="B16" s="5">
        <v>72</v>
      </c>
    </row>
    <row r="17" spans="1:2">
      <c r="A17" s="5" t="s">
        <v>8</v>
      </c>
      <c r="B17" s="5">
        <v>69.709999999999994</v>
      </c>
    </row>
    <row r="18" spans="1:2">
      <c r="A18" s="5" t="s">
        <v>12</v>
      </c>
      <c r="B18" s="5">
        <v>65.14</v>
      </c>
    </row>
  </sheetData>
  <autoFilter ref="A1:B18" xr:uid="{C6C8BE39-6361-44B6-8619-3A2DADEC4590}">
    <sortState xmlns:xlrd2="http://schemas.microsoft.com/office/spreadsheetml/2017/richdata2" ref="A2:B18">
      <sortCondition descending="1" ref="B1:B18"/>
    </sortState>
  </autoFilter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BB750-0354-4CAB-B83B-1E11B144F14D}">
  <dimension ref="A1:C23"/>
  <sheetViews>
    <sheetView workbookViewId="0">
      <selection activeCell="C1" sqref="C1"/>
    </sheetView>
  </sheetViews>
  <sheetFormatPr defaultRowHeight="17.399999999999999"/>
  <cols>
    <col min="1" max="1" width="18.3984375" style="2" customWidth="1"/>
    <col min="2" max="2" width="11.19921875" style="1" customWidth="1"/>
    <col min="3" max="3" width="8.796875" style="1"/>
  </cols>
  <sheetData>
    <row r="1" spans="1:3">
      <c r="A1" s="2" t="s">
        <v>0</v>
      </c>
      <c r="B1" s="1" t="s">
        <v>1</v>
      </c>
      <c r="C1" s="2" t="s">
        <v>251</v>
      </c>
    </row>
    <row r="2" spans="1:3">
      <c r="A2" s="8" t="s">
        <v>118</v>
      </c>
      <c r="B2" s="5">
        <v>861.5</v>
      </c>
      <c r="C2" s="1">
        <f>B2/10</f>
        <v>86.15</v>
      </c>
    </row>
    <row r="3" spans="1:3">
      <c r="A3" s="8" t="s">
        <v>117</v>
      </c>
      <c r="B3" s="5">
        <v>850.8</v>
      </c>
      <c r="C3" s="1">
        <f t="shared" ref="C3:C23" si="0">B3/10</f>
        <v>85.08</v>
      </c>
    </row>
    <row r="4" spans="1:3">
      <c r="A4" s="11" t="s">
        <v>127</v>
      </c>
      <c r="B4" s="12">
        <v>845</v>
      </c>
      <c r="C4" s="1">
        <f t="shared" si="0"/>
        <v>84.5</v>
      </c>
    </row>
    <row r="5" spans="1:3">
      <c r="A5" s="7" t="s">
        <v>113</v>
      </c>
      <c r="B5" s="4">
        <v>837.9</v>
      </c>
      <c r="C5" s="1">
        <f t="shared" si="0"/>
        <v>83.789999999999992</v>
      </c>
    </row>
    <row r="6" spans="1:3">
      <c r="A6" s="11" t="s">
        <v>121</v>
      </c>
      <c r="B6" s="12">
        <v>837.7</v>
      </c>
      <c r="C6" s="1">
        <f t="shared" si="0"/>
        <v>83.77000000000001</v>
      </c>
    </row>
    <row r="7" spans="1:3">
      <c r="A7" s="11" t="s">
        <v>124</v>
      </c>
      <c r="B7" s="12">
        <v>836.5</v>
      </c>
      <c r="C7" s="1">
        <f t="shared" si="0"/>
        <v>83.65</v>
      </c>
    </row>
    <row r="8" spans="1:3">
      <c r="A8" s="11" t="s">
        <v>125</v>
      </c>
      <c r="B8" s="12">
        <v>819.7</v>
      </c>
      <c r="C8" s="1">
        <f t="shared" si="0"/>
        <v>81.97</v>
      </c>
    </row>
    <row r="9" spans="1:3">
      <c r="A9" s="8" t="s">
        <v>116</v>
      </c>
      <c r="B9" s="5">
        <v>817</v>
      </c>
      <c r="C9" s="1">
        <f t="shared" si="0"/>
        <v>81.7</v>
      </c>
    </row>
    <row r="10" spans="1:3">
      <c r="A10" s="7" t="s">
        <v>109</v>
      </c>
      <c r="B10" s="4">
        <v>795.1</v>
      </c>
      <c r="C10" s="1">
        <f t="shared" si="0"/>
        <v>79.510000000000005</v>
      </c>
    </row>
    <row r="11" spans="1:3">
      <c r="A11" s="11" t="s">
        <v>123</v>
      </c>
      <c r="B11" s="12">
        <v>795</v>
      </c>
      <c r="C11" s="1">
        <f t="shared" si="0"/>
        <v>79.5</v>
      </c>
    </row>
    <row r="12" spans="1:3">
      <c r="A12" s="11" t="s">
        <v>122</v>
      </c>
      <c r="B12" s="12">
        <v>791.9</v>
      </c>
      <c r="C12" s="1">
        <f t="shared" si="0"/>
        <v>79.19</v>
      </c>
    </row>
    <row r="13" spans="1:3">
      <c r="A13" s="7" t="s">
        <v>114</v>
      </c>
      <c r="B13" s="4">
        <v>781.3</v>
      </c>
      <c r="C13" s="1">
        <f t="shared" si="0"/>
        <v>78.13</v>
      </c>
    </row>
    <row r="14" spans="1:3">
      <c r="A14" s="11" t="s">
        <v>126</v>
      </c>
      <c r="B14" s="12">
        <v>773.3</v>
      </c>
      <c r="C14" s="1">
        <f t="shared" si="0"/>
        <v>77.33</v>
      </c>
    </row>
    <row r="15" spans="1:3">
      <c r="A15" s="7" t="s">
        <v>107</v>
      </c>
      <c r="B15" s="4">
        <v>773</v>
      </c>
      <c r="C15" s="1">
        <f t="shared" si="0"/>
        <v>77.3</v>
      </c>
    </row>
    <row r="16" spans="1:3">
      <c r="A16" s="11" t="s">
        <v>119</v>
      </c>
      <c r="B16" s="12">
        <v>765.3</v>
      </c>
      <c r="C16" s="1">
        <f t="shared" si="0"/>
        <v>76.53</v>
      </c>
    </row>
    <row r="17" spans="1:3">
      <c r="A17" s="7" t="s">
        <v>108</v>
      </c>
      <c r="B17" s="4">
        <v>761.5</v>
      </c>
      <c r="C17" s="1">
        <f t="shared" si="0"/>
        <v>76.150000000000006</v>
      </c>
    </row>
    <row r="18" spans="1:3">
      <c r="A18" s="7" t="s">
        <v>106</v>
      </c>
      <c r="B18" s="4">
        <v>758.2</v>
      </c>
      <c r="C18" s="1">
        <f t="shared" si="0"/>
        <v>75.820000000000007</v>
      </c>
    </row>
    <row r="19" spans="1:3">
      <c r="A19" s="11" t="s">
        <v>120</v>
      </c>
      <c r="B19" s="12">
        <v>754.7</v>
      </c>
      <c r="C19" s="1">
        <f t="shared" si="0"/>
        <v>75.47</v>
      </c>
    </row>
    <row r="20" spans="1:3">
      <c r="A20" s="7" t="s">
        <v>115</v>
      </c>
      <c r="B20" s="4">
        <v>750.1</v>
      </c>
      <c r="C20" s="1">
        <f t="shared" si="0"/>
        <v>75.010000000000005</v>
      </c>
    </row>
    <row r="21" spans="1:3">
      <c r="A21" s="7" t="s">
        <v>111</v>
      </c>
      <c r="B21" s="4">
        <v>740</v>
      </c>
      <c r="C21" s="1">
        <f t="shared" si="0"/>
        <v>74</v>
      </c>
    </row>
    <row r="22" spans="1:3">
      <c r="A22" s="7" t="s">
        <v>110</v>
      </c>
      <c r="B22" s="4">
        <v>727.3</v>
      </c>
      <c r="C22" s="1">
        <f t="shared" si="0"/>
        <v>72.72999999999999</v>
      </c>
    </row>
    <row r="23" spans="1:3">
      <c r="A23" s="7" t="s">
        <v>112</v>
      </c>
      <c r="B23" s="4">
        <v>711.7</v>
      </c>
      <c r="C23" s="1">
        <f t="shared" si="0"/>
        <v>71.17</v>
      </c>
    </row>
  </sheetData>
  <autoFilter ref="A1:C23" xr:uid="{11ABB750-0354-4CAB-B83B-1E11B144F14D}"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54F34-676A-4D5A-8D79-AA941F1A8EAB}">
  <dimension ref="A1:B18"/>
  <sheetViews>
    <sheetView workbookViewId="0">
      <selection activeCell="A8" sqref="A8"/>
    </sheetView>
  </sheetViews>
  <sheetFormatPr defaultRowHeight="17.399999999999999"/>
  <cols>
    <col min="1" max="1" width="18.3984375" style="2" customWidth="1"/>
    <col min="2" max="2" width="11.19921875" style="1" customWidth="1"/>
  </cols>
  <sheetData>
    <row r="1" spans="1:2">
      <c r="A1" s="2" t="s">
        <v>0</v>
      </c>
      <c r="B1" s="1" t="s">
        <v>1</v>
      </c>
    </row>
    <row r="2" spans="1:2">
      <c r="A2" s="8" t="s">
        <v>34</v>
      </c>
      <c r="B2" s="5">
        <v>84.92</v>
      </c>
    </row>
    <row r="3" spans="1:2">
      <c r="A3" s="8" t="s">
        <v>45</v>
      </c>
      <c r="B3" s="5">
        <v>83.72</v>
      </c>
    </row>
    <row r="4" spans="1:2">
      <c r="A4" s="8" t="s">
        <v>92</v>
      </c>
      <c r="B4" s="5">
        <v>82.18</v>
      </c>
    </row>
    <row r="5" spans="1:2">
      <c r="A5" s="8" t="s">
        <v>156</v>
      </c>
      <c r="B5" s="5">
        <v>81.790000000000006</v>
      </c>
    </row>
    <row r="6" spans="1:2">
      <c r="A6" s="8" t="s">
        <v>153</v>
      </c>
      <c r="B6" s="5">
        <v>79.88</v>
      </c>
    </row>
    <row r="7" spans="1:2">
      <c r="A7" s="8" t="s">
        <v>155</v>
      </c>
      <c r="B7" s="5">
        <v>79.7</v>
      </c>
    </row>
    <row r="8" spans="1:2">
      <c r="A8" s="7" t="s">
        <v>152</v>
      </c>
      <c r="B8" s="4">
        <v>79.19</v>
      </c>
    </row>
    <row r="9" spans="1:2">
      <c r="A9" s="8" t="s">
        <v>157</v>
      </c>
      <c r="B9" s="5">
        <v>77.25</v>
      </c>
    </row>
    <row r="10" spans="1:2">
      <c r="A10" s="8" t="s">
        <v>154</v>
      </c>
      <c r="B10" s="5">
        <v>76.400000000000006</v>
      </c>
    </row>
    <row r="11" spans="1:2">
      <c r="A11" s="13"/>
      <c r="B11" s="14"/>
    </row>
    <row r="12" spans="1:2">
      <c r="A12" s="13"/>
      <c r="B12" s="14"/>
    </row>
    <row r="13" spans="1:2">
      <c r="A13" s="13"/>
      <c r="B13" s="14"/>
    </row>
    <row r="14" spans="1:2">
      <c r="A14" s="13"/>
      <c r="B14" s="14"/>
    </row>
    <row r="15" spans="1:2">
      <c r="A15" s="13"/>
      <c r="B15" s="14"/>
    </row>
    <row r="16" spans="1:2">
      <c r="A16" s="13"/>
      <c r="B16" s="14"/>
    </row>
    <row r="17" spans="1:2">
      <c r="A17" s="13"/>
      <c r="B17" s="14"/>
    </row>
    <row r="18" spans="1:2">
      <c r="A18" s="13"/>
      <c r="B18" s="14"/>
    </row>
  </sheetData>
  <autoFilter ref="A1:B18" xr:uid="{C6C8BE39-6361-44B6-8619-3A2DADEC4590}">
    <sortState xmlns:xlrd2="http://schemas.microsoft.com/office/spreadsheetml/2017/richdata2" ref="A2:B18">
      <sortCondition descending="1" ref="B1:B18"/>
    </sortState>
  </autoFilter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497F2-82E5-4F87-90C7-AFF9A4351116}">
  <dimension ref="A1:B21"/>
  <sheetViews>
    <sheetView workbookViewId="0">
      <selection activeCell="D12" sqref="D12"/>
    </sheetView>
  </sheetViews>
  <sheetFormatPr defaultRowHeight="17.399999999999999"/>
  <cols>
    <col min="1" max="1" width="18.3984375" style="1" customWidth="1"/>
    <col min="2" max="2" width="11.19921875" style="1" customWidth="1"/>
  </cols>
  <sheetData>
    <row r="1" spans="1:2">
      <c r="A1" s="1" t="s">
        <v>0</v>
      </c>
      <c r="B1" s="1" t="s">
        <v>1</v>
      </c>
    </row>
    <row r="2" spans="1:2">
      <c r="A2" s="1" t="s">
        <v>35</v>
      </c>
      <c r="B2" s="1">
        <v>97.11</v>
      </c>
    </row>
    <row r="3" spans="1:2">
      <c r="A3" s="1" t="s">
        <v>34</v>
      </c>
      <c r="B3" s="1">
        <v>88.96</v>
      </c>
    </row>
    <row r="4" spans="1:2">
      <c r="A4" s="1" t="s">
        <v>28</v>
      </c>
      <c r="B4" s="1">
        <v>87.08</v>
      </c>
    </row>
    <row r="5" spans="1:2">
      <c r="A5" s="1" t="s">
        <v>25</v>
      </c>
      <c r="B5" s="1">
        <v>86.78</v>
      </c>
    </row>
    <row r="6" spans="1:2">
      <c r="A6" s="1" t="s">
        <v>24</v>
      </c>
      <c r="B6" s="1">
        <v>86.39</v>
      </c>
    </row>
    <row r="7" spans="1:2">
      <c r="A7" s="1" t="s">
        <v>27</v>
      </c>
      <c r="B7" s="1">
        <v>85.82</v>
      </c>
    </row>
    <row r="8" spans="1:2">
      <c r="A8" s="1" t="s">
        <v>26</v>
      </c>
      <c r="B8" s="1">
        <v>85.3</v>
      </c>
    </row>
    <row r="9" spans="1:2">
      <c r="A9" s="1" t="s">
        <v>30</v>
      </c>
      <c r="B9" s="1">
        <v>84.19</v>
      </c>
    </row>
    <row r="10" spans="1:2">
      <c r="A10" s="1" t="s">
        <v>21</v>
      </c>
      <c r="B10" s="1">
        <v>83.84</v>
      </c>
    </row>
    <row r="11" spans="1:2">
      <c r="A11" s="1" t="s">
        <v>18</v>
      </c>
      <c r="B11" s="1">
        <v>83.51</v>
      </c>
    </row>
    <row r="12" spans="1:2">
      <c r="A12" s="1" t="s">
        <v>16</v>
      </c>
      <c r="B12" s="1">
        <v>83.44</v>
      </c>
    </row>
    <row r="13" spans="1:2">
      <c r="A13" s="1" t="s">
        <v>31</v>
      </c>
      <c r="B13" s="1">
        <v>83.24</v>
      </c>
    </row>
    <row r="14" spans="1:2">
      <c r="A14" s="1" t="s">
        <v>19</v>
      </c>
      <c r="B14" s="1">
        <v>82.8</v>
      </c>
    </row>
    <row r="15" spans="1:2">
      <c r="A15" s="1" t="s">
        <v>22</v>
      </c>
      <c r="B15" s="1">
        <v>81.760000000000005</v>
      </c>
    </row>
    <row r="16" spans="1:2">
      <c r="A16" s="1" t="s">
        <v>36</v>
      </c>
      <c r="B16" s="1">
        <v>81.19</v>
      </c>
    </row>
    <row r="17" spans="1:2">
      <c r="A17" s="1" t="s">
        <v>23</v>
      </c>
      <c r="B17" s="1">
        <v>80.06</v>
      </c>
    </row>
    <row r="18" spans="1:2">
      <c r="A18" s="1" t="s">
        <v>20</v>
      </c>
      <c r="B18" s="1">
        <v>79.64</v>
      </c>
    </row>
    <row r="19" spans="1:2">
      <c r="A19" s="1" t="s">
        <v>33</v>
      </c>
      <c r="B19" s="1">
        <v>79.16</v>
      </c>
    </row>
    <row r="20" spans="1:2">
      <c r="A20" s="1" t="s">
        <v>29</v>
      </c>
      <c r="B20" s="1">
        <v>77.97</v>
      </c>
    </row>
    <row r="21" spans="1:2">
      <c r="A21" s="1" t="s">
        <v>32</v>
      </c>
      <c r="B21" s="1">
        <v>77.599999999999994</v>
      </c>
    </row>
  </sheetData>
  <autoFilter ref="A1:B21" xr:uid="{9EE497F2-82E5-4F87-90C7-AFF9A4351116}">
    <sortState xmlns:xlrd2="http://schemas.microsoft.com/office/spreadsheetml/2017/richdata2" ref="A2:B21">
      <sortCondition descending="1" ref="B1:B21"/>
    </sortState>
  </autoFilter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8A993-21B7-4B60-A50E-9A54A014980D}">
  <dimension ref="A1:B26"/>
  <sheetViews>
    <sheetView workbookViewId="0">
      <selection activeCell="B26" sqref="B26"/>
    </sheetView>
  </sheetViews>
  <sheetFormatPr defaultRowHeight="17.399999999999999"/>
  <cols>
    <col min="1" max="1" width="18.3984375" style="1" customWidth="1"/>
    <col min="2" max="2" width="11.19921875" style="1" customWidth="1"/>
  </cols>
  <sheetData>
    <row r="1" spans="1:2">
      <c r="A1" s="1" t="s">
        <v>0</v>
      </c>
      <c r="B1" s="1" t="s">
        <v>1</v>
      </c>
    </row>
    <row r="2" spans="1:2">
      <c r="A2" s="1" t="s">
        <v>34</v>
      </c>
      <c r="B2" s="1">
        <v>56.63</v>
      </c>
    </row>
    <row r="3" spans="1:2">
      <c r="A3" s="1" t="s">
        <v>148</v>
      </c>
      <c r="B3" s="1">
        <v>56</v>
      </c>
    </row>
    <row r="4" spans="1:2">
      <c r="A4" s="1" t="s">
        <v>164</v>
      </c>
      <c r="B4" s="1">
        <v>53.5</v>
      </c>
    </row>
    <row r="5" spans="1:2">
      <c r="A5" s="1" t="s">
        <v>76</v>
      </c>
      <c r="B5" s="1">
        <v>52.01</v>
      </c>
    </row>
    <row r="6" spans="1:2">
      <c r="A6" s="1" t="s">
        <v>19</v>
      </c>
      <c r="B6" s="1">
        <v>46.93</v>
      </c>
    </row>
    <row r="7" spans="1:2">
      <c r="A7" s="1" t="s">
        <v>77</v>
      </c>
      <c r="B7" s="1">
        <v>46.75</v>
      </c>
    </row>
    <row r="8" spans="1:2">
      <c r="A8" s="1" t="s">
        <v>396</v>
      </c>
      <c r="B8" s="1">
        <v>46.1</v>
      </c>
    </row>
    <row r="9" spans="1:2">
      <c r="A9" s="1" t="s">
        <v>404</v>
      </c>
      <c r="B9" s="1">
        <v>45.2</v>
      </c>
    </row>
    <row r="10" spans="1:2">
      <c r="A10" s="1" t="s">
        <v>395</v>
      </c>
      <c r="B10" s="1">
        <v>44.45</v>
      </c>
    </row>
    <row r="11" spans="1:2">
      <c r="A11" s="1" t="s">
        <v>73</v>
      </c>
      <c r="B11" s="1">
        <v>43.75</v>
      </c>
    </row>
    <row r="12" spans="1:2">
      <c r="A12" s="1" t="s">
        <v>264</v>
      </c>
      <c r="B12" s="1">
        <v>42.42</v>
      </c>
    </row>
    <row r="13" spans="1:2">
      <c r="A13" s="1" t="s">
        <v>16</v>
      </c>
      <c r="B13" s="1">
        <v>42.1</v>
      </c>
    </row>
    <row r="14" spans="1:2">
      <c r="A14" s="1" t="s">
        <v>399</v>
      </c>
      <c r="B14" s="1">
        <v>42</v>
      </c>
    </row>
    <row r="15" spans="1:2">
      <c r="A15" s="1" t="s">
        <v>18</v>
      </c>
      <c r="B15" s="1">
        <v>41.06</v>
      </c>
    </row>
    <row r="16" spans="1:2">
      <c r="A16" s="1" t="s">
        <v>400</v>
      </c>
      <c r="B16" s="1">
        <v>36</v>
      </c>
    </row>
    <row r="17" spans="1:2">
      <c r="A17" s="1" t="s">
        <v>162</v>
      </c>
      <c r="B17" s="1">
        <v>34.53</v>
      </c>
    </row>
    <row r="18" spans="1:2">
      <c r="A18" s="1" t="s">
        <v>403</v>
      </c>
      <c r="B18" s="1">
        <v>32.33</v>
      </c>
    </row>
    <row r="19" spans="1:2">
      <c r="A19" s="1" t="s">
        <v>398</v>
      </c>
      <c r="B19" s="1">
        <v>31</v>
      </c>
    </row>
    <row r="20" spans="1:2">
      <c r="A20" s="1" t="s">
        <v>263</v>
      </c>
      <c r="B20" s="1">
        <v>30.4</v>
      </c>
    </row>
    <row r="21" spans="1:2">
      <c r="A21" s="1" t="s">
        <v>89</v>
      </c>
      <c r="B21" s="1">
        <v>30.38</v>
      </c>
    </row>
    <row r="22" spans="1:2">
      <c r="A22" s="1" t="s">
        <v>402</v>
      </c>
      <c r="B22" s="1">
        <v>29.32</v>
      </c>
    </row>
    <row r="23" spans="1:2">
      <c r="A23" s="1" t="s">
        <v>394</v>
      </c>
      <c r="B23" s="1">
        <v>27.33</v>
      </c>
    </row>
    <row r="24" spans="1:2">
      <c r="A24" s="1" t="s">
        <v>397</v>
      </c>
      <c r="B24" s="1">
        <v>26.29</v>
      </c>
    </row>
    <row r="25" spans="1:2">
      <c r="A25" s="1" t="s">
        <v>401</v>
      </c>
      <c r="B25" s="1">
        <v>25</v>
      </c>
    </row>
    <row r="26" spans="1:2">
      <c r="A26" s="1" t="s">
        <v>393</v>
      </c>
      <c r="B26" s="1">
        <v>16.36</v>
      </c>
    </row>
  </sheetData>
  <autoFilter ref="A1:B21" xr:uid="{9EE497F2-82E5-4F87-90C7-AFF9A4351116}">
    <sortState xmlns:xlrd2="http://schemas.microsoft.com/office/spreadsheetml/2017/richdata2" ref="A2:B26">
      <sortCondition descending="1" ref="B1:B21"/>
    </sortState>
  </autoFilter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63186-C772-4EAE-B9A6-99E3DF98E6F4}">
  <dimension ref="A1:B20"/>
  <sheetViews>
    <sheetView workbookViewId="0">
      <selection activeCell="C8" sqref="C8"/>
    </sheetView>
  </sheetViews>
  <sheetFormatPr defaultRowHeight="17.399999999999999"/>
  <cols>
    <col min="1" max="1" width="18.3984375" style="2" customWidth="1"/>
    <col min="2" max="2" width="11.19921875" style="1" customWidth="1"/>
  </cols>
  <sheetData>
    <row r="1" spans="1:2">
      <c r="A1" s="22" t="s">
        <v>0</v>
      </c>
      <c r="B1" s="23" t="s">
        <v>1</v>
      </c>
    </row>
    <row r="2" spans="1:2">
      <c r="A2" s="30" t="s">
        <v>312</v>
      </c>
      <c r="B2" s="30">
        <v>12.94</v>
      </c>
    </row>
    <row r="3" spans="1:2">
      <c r="A3" s="30" t="s">
        <v>315</v>
      </c>
      <c r="B3" s="30">
        <v>12.44</v>
      </c>
    </row>
    <row r="4" spans="1:2">
      <c r="A4" s="30" t="s">
        <v>316</v>
      </c>
      <c r="B4" s="30">
        <v>12.33</v>
      </c>
    </row>
    <row r="5" spans="1:2">
      <c r="A5" s="30" t="s">
        <v>314</v>
      </c>
      <c r="B5" s="30">
        <v>11.99</v>
      </c>
    </row>
    <row r="6" spans="1:2">
      <c r="A6" s="30" t="s">
        <v>313</v>
      </c>
      <c r="B6" s="30">
        <v>11.96</v>
      </c>
    </row>
    <row r="7" spans="1:2">
      <c r="A7" s="30" t="s">
        <v>317</v>
      </c>
      <c r="B7" s="30">
        <v>11.71</v>
      </c>
    </row>
    <row r="8" spans="1:2">
      <c r="A8" s="17" t="s">
        <v>219</v>
      </c>
      <c r="B8" s="29">
        <v>11.66</v>
      </c>
    </row>
    <row r="9" spans="1:2">
      <c r="A9" s="30" t="s">
        <v>318</v>
      </c>
      <c r="B9" s="30">
        <v>11.43</v>
      </c>
    </row>
    <row r="10" spans="1:2" ht="17.399999999999999" customHeight="1">
      <c r="A10" s="17" t="s">
        <v>229</v>
      </c>
      <c r="B10" s="29">
        <v>11.16</v>
      </c>
    </row>
    <row r="11" spans="1:2">
      <c r="A11" s="17" t="s">
        <v>234</v>
      </c>
      <c r="B11" s="29">
        <v>9.67</v>
      </c>
    </row>
    <row r="12" spans="1:2">
      <c r="A12" s="17" t="s">
        <v>231</v>
      </c>
      <c r="B12" s="29">
        <v>9.42</v>
      </c>
    </row>
    <row r="13" spans="1:2" ht="18" thickBot="1">
      <c r="A13" s="17" t="s">
        <v>227</v>
      </c>
      <c r="B13" s="29">
        <v>9.31</v>
      </c>
    </row>
    <row r="14" spans="1:2" ht="18" thickBot="1">
      <c r="A14" s="31" t="s">
        <v>233</v>
      </c>
      <c r="B14" s="33">
        <v>9.3000000000000007</v>
      </c>
    </row>
    <row r="15" spans="1:2" ht="18" thickBot="1">
      <c r="A15" s="31" t="s">
        <v>235</v>
      </c>
      <c r="B15" s="33">
        <v>9.2899999999999991</v>
      </c>
    </row>
    <row r="16" spans="1:2" ht="18" thickBot="1">
      <c r="A16" s="31" t="s">
        <v>236</v>
      </c>
      <c r="B16" s="33">
        <v>9.26</v>
      </c>
    </row>
    <row r="17" spans="1:2" ht="18" thickBot="1">
      <c r="A17" s="31" t="s">
        <v>230</v>
      </c>
      <c r="B17" s="33">
        <v>9.23</v>
      </c>
    </row>
    <row r="18" spans="1:2">
      <c r="A18" s="31" t="s">
        <v>237</v>
      </c>
      <c r="B18" s="33">
        <v>9.23</v>
      </c>
    </row>
    <row r="19" spans="1:2" ht="18" thickBot="1">
      <c r="A19" s="32" t="s">
        <v>228</v>
      </c>
      <c r="B19" s="34">
        <v>8.98</v>
      </c>
    </row>
    <row r="20" spans="1:2" ht="18" thickBot="1">
      <c r="A20" s="32" t="s">
        <v>232</v>
      </c>
      <c r="B20" s="34">
        <v>8.8800000000000008</v>
      </c>
    </row>
  </sheetData>
  <autoFilter ref="A1:B8" xr:uid="{9EE497F2-82E5-4F87-90C7-AFF9A4351116}">
    <sortState xmlns:xlrd2="http://schemas.microsoft.com/office/spreadsheetml/2017/richdata2" ref="A2:B20">
      <sortCondition descending="1" ref="B1:B8"/>
    </sortState>
  </autoFilter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E4487-AA1E-4C71-AE9A-FE2DD7F1E8BC}">
  <dimension ref="A1:B28"/>
  <sheetViews>
    <sheetView workbookViewId="0">
      <selection activeCell="B22" sqref="B22"/>
    </sheetView>
  </sheetViews>
  <sheetFormatPr defaultRowHeight="17.399999999999999"/>
  <cols>
    <col min="1" max="1" width="18.3984375" style="2" customWidth="1"/>
    <col min="2" max="2" width="11.19921875" style="1" customWidth="1"/>
  </cols>
  <sheetData>
    <row r="1" spans="1:2">
      <c r="A1" s="22" t="s">
        <v>0</v>
      </c>
      <c r="B1" s="23" t="s">
        <v>1</v>
      </c>
    </row>
    <row r="2" spans="1:2">
      <c r="A2" s="7" t="s">
        <v>368</v>
      </c>
      <c r="B2" s="4">
        <v>98.9</v>
      </c>
    </row>
    <row r="3" spans="1:2">
      <c r="A3" s="17" t="s">
        <v>364</v>
      </c>
      <c r="B3" s="29">
        <v>96.04</v>
      </c>
    </row>
    <row r="4" spans="1:2">
      <c r="A4" s="17" t="s">
        <v>360</v>
      </c>
      <c r="B4" s="29">
        <v>94.63</v>
      </c>
    </row>
    <row r="5" spans="1:2">
      <c r="A5" s="17" t="s">
        <v>363</v>
      </c>
      <c r="B5" s="29">
        <v>94.53</v>
      </c>
    </row>
    <row r="6" spans="1:2">
      <c r="A6" s="45" t="s">
        <v>355</v>
      </c>
      <c r="B6" s="30">
        <v>94.1</v>
      </c>
    </row>
    <row r="7" spans="1:2">
      <c r="A7" s="46" t="s">
        <v>366</v>
      </c>
      <c r="B7" s="47">
        <v>93.9</v>
      </c>
    </row>
    <row r="8" spans="1:2">
      <c r="A8" s="17" t="s">
        <v>361</v>
      </c>
      <c r="B8" s="29">
        <v>93.63</v>
      </c>
    </row>
    <row r="9" spans="1:2">
      <c r="A9" s="45" t="s">
        <v>358</v>
      </c>
      <c r="B9" s="30">
        <v>93.1</v>
      </c>
    </row>
    <row r="10" spans="1:2" ht="17.399999999999999" customHeight="1">
      <c r="A10" s="17" t="s">
        <v>365</v>
      </c>
      <c r="B10" s="29">
        <v>92.3</v>
      </c>
    </row>
    <row r="11" spans="1:2">
      <c r="A11" s="45" t="s">
        <v>357</v>
      </c>
      <c r="B11" s="30">
        <v>92.1</v>
      </c>
    </row>
    <row r="12" spans="1:2">
      <c r="A12" s="45" t="s">
        <v>362</v>
      </c>
      <c r="B12" s="30">
        <v>91.6</v>
      </c>
    </row>
    <row r="13" spans="1:2">
      <c r="A13" s="45" t="s">
        <v>356</v>
      </c>
      <c r="B13" s="30">
        <v>90.13</v>
      </c>
    </row>
    <row r="14" spans="1:2">
      <c r="A14" s="7" t="s">
        <v>367</v>
      </c>
      <c r="B14" s="4">
        <v>89.93</v>
      </c>
    </row>
    <row r="15" spans="1:2">
      <c r="A15" s="45" t="s">
        <v>359</v>
      </c>
      <c r="B15" s="30">
        <v>88.17</v>
      </c>
    </row>
    <row r="16" spans="1:2">
      <c r="A16" s="8" t="s">
        <v>372</v>
      </c>
      <c r="B16" s="5">
        <v>79.27</v>
      </c>
    </row>
    <row r="17" spans="1:2">
      <c r="A17" s="48" t="s">
        <v>354</v>
      </c>
      <c r="B17" s="49">
        <v>78.52</v>
      </c>
    </row>
    <row r="18" spans="1:2">
      <c r="A18" s="8" t="s">
        <v>376</v>
      </c>
      <c r="B18" s="5">
        <v>77.3</v>
      </c>
    </row>
    <row r="19" spans="1:2">
      <c r="A19" s="8" t="s">
        <v>369</v>
      </c>
      <c r="B19" s="5">
        <v>76.02</v>
      </c>
    </row>
    <row r="20" spans="1:2">
      <c r="A20" s="8" t="s">
        <v>378</v>
      </c>
      <c r="B20" s="5">
        <v>72.03</v>
      </c>
    </row>
    <row r="21" spans="1:2">
      <c r="A21" s="50" t="s">
        <v>34</v>
      </c>
      <c r="B21" s="51">
        <v>70.2</v>
      </c>
    </row>
    <row r="22" spans="1:2">
      <c r="A22" s="50" t="s">
        <v>73</v>
      </c>
      <c r="B22" s="51">
        <v>63.53</v>
      </c>
    </row>
    <row r="23" spans="1:2">
      <c r="A23" s="50" t="s">
        <v>370</v>
      </c>
      <c r="B23" s="51">
        <v>62.6</v>
      </c>
    </row>
    <row r="24" spans="1:2">
      <c r="A24" s="50" t="s">
        <v>374</v>
      </c>
      <c r="B24" s="51">
        <v>61.83</v>
      </c>
    </row>
    <row r="25" spans="1:2">
      <c r="A25" s="50" t="s">
        <v>375</v>
      </c>
      <c r="B25" s="51">
        <v>60.5</v>
      </c>
    </row>
    <row r="26" spans="1:2">
      <c r="A26" s="50" t="s">
        <v>373</v>
      </c>
      <c r="B26" s="51">
        <v>60.07</v>
      </c>
    </row>
    <row r="27" spans="1:2">
      <c r="A27" s="50" t="s">
        <v>377</v>
      </c>
      <c r="B27" s="51">
        <v>59.53</v>
      </c>
    </row>
    <row r="28" spans="1:2">
      <c r="A28" s="50" t="s">
        <v>371</v>
      </c>
      <c r="B28" s="51">
        <v>59.43</v>
      </c>
    </row>
  </sheetData>
  <autoFilter ref="A1:B13" xr:uid="{DFE1EC13-90EB-4039-8650-E37D74495835}">
    <sortState xmlns:xlrd2="http://schemas.microsoft.com/office/spreadsheetml/2017/richdata2" ref="A2:B28">
      <sortCondition descending="1" ref="B1:B13"/>
    </sortState>
  </autoFilter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C6269-7013-4E34-91AC-1925DE60D63B}">
  <dimension ref="A1:C28"/>
  <sheetViews>
    <sheetView workbookViewId="0">
      <selection activeCell="D1" sqref="D1"/>
    </sheetView>
  </sheetViews>
  <sheetFormatPr defaultRowHeight="17.399999999999999"/>
  <cols>
    <col min="1" max="1" width="18.3984375" style="2" customWidth="1"/>
    <col min="2" max="2" width="11.19921875" style="1" customWidth="1"/>
    <col min="3" max="3" width="15.5" customWidth="1"/>
  </cols>
  <sheetData>
    <row r="1" spans="1:3">
      <c r="A1" s="22" t="s">
        <v>0</v>
      </c>
      <c r="B1" s="23" t="s">
        <v>1</v>
      </c>
      <c r="C1" s="1" t="s">
        <v>407</v>
      </c>
    </row>
    <row r="2" spans="1:3">
      <c r="A2" s="1" t="s">
        <v>405</v>
      </c>
      <c r="B2" s="1">
        <v>770</v>
      </c>
      <c r="C2" s="1">
        <f>(B2)/10</f>
        <v>77</v>
      </c>
    </row>
    <row r="3" spans="1:3">
      <c r="A3" s="1" t="s">
        <v>406</v>
      </c>
      <c r="B3" s="1">
        <v>788</v>
      </c>
      <c r="C3" s="1">
        <f t="shared" ref="C3:C4" si="0">(B3)/10</f>
        <v>78.8</v>
      </c>
    </row>
    <row r="4" spans="1:3">
      <c r="A4" s="1" t="s">
        <v>184</v>
      </c>
      <c r="B4" s="1">
        <v>781</v>
      </c>
      <c r="C4" s="1">
        <f t="shared" si="0"/>
        <v>78.099999999999994</v>
      </c>
    </row>
    <row r="5" spans="1:3">
      <c r="A5"/>
      <c r="B5"/>
    </row>
    <row r="6" spans="1:3">
      <c r="A6"/>
      <c r="B6"/>
    </row>
    <row r="7" spans="1:3">
      <c r="A7"/>
      <c r="B7"/>
    </row>
    <row r="8" spans="1:3">
      <c r="A8"/>
      <c r="B8"/>
    </row>
    <row r="9" spans="1:3">
      <c r="A9"/>
      <c r="B9"/>
    </row>
    <row r="10" spans="1:3" ht="17.399999999999999" customHeight="1">
      <c r="A10"/>
      <c r="B10"/>
    </row>
    <row r="11" spans="1:3">
      <c r="A11"/>
      <c r="B11"/>
    </row>
    <row r="12" spans="1:3">
      <c r="A12"/>
      <c r="B12"/>
    </row>
    <row r="13" spans="1:3">
      <c r="A13"/>
      <c r="B13"/>
    </row>
    <row r="14" spans="1:3">
      <c r="A14"/>
      <c r="B14"/>
    </row>
    <row r="15" spans="1:3">
      <c r="A15"/>
      <c r="B15"/>
    </row>
    <row r="16" spans="1:3">
      <c r="A16"/>
      <c r="B16"/>
    </row>
    <row r="17" spans="1:2">
      <c r="A17"/>
      <c r="B17"/>
    </row>
    <row r="18" spans="1:2">
      <c r="A18"/>
      <c r="B18"/>
    </row>
    <row r="19" spans="1:2">
      <c r="A19"/>
      <c r="B19"/>
    </row>
    <row r="20" spans="1:2">
      <c r="A20"/>
      <c r="B20"/>
    </row>
    <row r="21" spans="1:2">
      <c r="A21"/>
      <c r="B21"/>
    </row>
    <row r="22" spans="1:2">
      <c r="A22"/>
      <c r="B22"/>
    </row>
    <row r="23" spans="1:2">
      <c r="A23"/>
      <c r="B23"/>
    </row>
    <row r="24" spans="1:2">
      <c r="A24"/>
      <c r="B24"/>
    </row>
    <row r="25" spans="1:2">
      <c r="A25"/>
      <c r="B25"/>
    </row>
    <row r="26" spans="1:2">
      <c r="A26"/>
      <c r="B26"/>
    </row>
    <row r="27" spans="1:2">
      <c r="A27"/>
      <c r="B27"/>
    </row>
    <row r="28" spans="1:2">
      <c r="A28"/>
      <c r="B28"/>
    </row>
  </sheetData>
  <autoFilter ref="A1:B13" xr:uid="{DFE1EC13-90EB-4039-8650-E37D74495835}">
    <sortState xmlns:xlrd2="http://schemas.microsoft.com/office/spreadsheetml/2017/richdata2" ref="A2:B28">
      <sortCondition descending="1" ref="B1:B13"/>
    </sortState>
  </autoFilter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1EC13-90EB-4039-8650-E37D74495835}">
  <dimension ref="A1:C14"/>
  <sheetViews>
    <sheetView workbookViewId="0">
      <selection activeCell="C1" sqref="C1"/>
    </sheetView>
  </sheetViews>
  <sheetFormatPr defaultRowHeight="17.399999999999999"/>
  <cols>
    <col min="1" max="1" width="18.3984375" style="2" customWidth="1"/>
    <col min="2" max="2" width="11.19921875" style="1" customWidth="1"/>
  </cols>
  <sheetData>
    <row r="1" spans="1:3">
      <c r="A1" s="22" t="s">
        <v>0</v>
      </c>
      <c r="B1" s="23" t="s">
        <v>1</v>
      </c>
      <c r="C1" s="2" t="s">
        <v>251</v>
      </c>
    </row>
    <row r="2" spans="1:3">
      <c r="A2" s="22" t="s">
        <v>240</v>
      </c>
      <c r="B2" s="24">
        <v>583</v>
      </c>
      <c r="C2" s="25">
        <f>B2/8</f>
        <v>72.875</v>
      </c>
    </row>
    <row r="3" spans="1:3">
      <c r="A3" s="22" t="s">
        <v>74</v>
      </c>
      <c r="B3" s="24">
        <v>580</v>
      </c>
      <c r="C3" s="25">
        <f t="shared" ref="C3:C13" si="0">B3/8</f>
        <v>72.5</v>
      </c>
    </row>
    <row r="4" spans="1:3">
      <c r="A4" s="22" t="s">
        <v>241</v>
      </c>
      <c r="B4" s="24">
        <v>575</v>
      </c>
      <c r="C4" s="25">
        <f t="shared" si="0"/>
        <v>71.875</v>
      </c>
    </row>
    <row r="5" spans="1:3">
      <c r="A5" s="22" t="s">
        <v>239</v>
      </c>
      <c r="B5" s="24">
        <v>571.66999999999996</v>
      </c>
      <c r="C5" s="25">
        <f t="shared" si="0"/>
        <v>71.458749999999995</v>
      </c>
    </row>
    <row r="6" spans="1:3">
      <c r="A6" s="22" t="s">
        <v>238</v>
      </c>
      <c r="B6" s="24">
        <v>542.5</v>
      </c>
      <c r="C6" s="25">
        <f t="shared" si="0"/>
        <v>67.8125</v>
      </c>
    </row>
    <row r="7" spans="1:3">
      <c r="A7" s="22" t="s">
        <v>243</v>
      </c>
      <c r="B7" s="24">
        <v>495</v>
      </c>
      <c r="C7" s="25">
        <f t="shared" si="0"/>
        <v>61.875</v>
      </c>
    </row>
    <row r="8" spans="1:3">
      <c r="A8" s="22" t="s">
        <v>78</v>
      </c>
      <c r="B8" s="24">
        <v>487.5</v>
      </c>
      <c r="C8" s="25">
        <f t="shared" si="0"/>
        <v>60.9375</v>
      </c>
    </row>
    <row r="9" spans="1:3">
      <c r="A9" s="22" t="s">
        <v>244</v>
      </c>
      <c r="B9" s="24">
        <v>486.5</v>
      </c>
      <c r="C9" s="25">
        <f t="shared" si="0"/>
        <v>60.8125</v>
      </c>
    </row>
    <row r="10" spans="1:3" ht="17.399999999999999" customHeight="1">
      <c r="A10" s="22" t="s">
        <v>242</v>
      </c>
      <c r="B10" s="24">
        <v>449</v>
      </c>
      <c r="C10" s="25">
        <f t="shared" si="0"/>
        <v>56.125</v>
      </c>
    </row>
    <row r="11" spans="1:3">
      <c r="A11" s="22" t="s">
        <v>245</v>
      </c>
      <c r="B11" s="24">
        <v>448.75</v>
      </c>
      <c r="C11" s="25">
        <f t="shared" si="0"/>
        <v>56.09375</v>
      </c>
    </row>
    <row r="12" spans="1:3">
      <c r="A12" s="22" t="s">
        <v>16</v>
      </c>
      <c r="B12" s="24">
        <v>444.29</v>
      </c>
      <c r="C12" s="25">
        <f t="shared" si="0"/>
        <v>55.536250000000003</v>
      </c>
    </row>
    <row r="13" spans="1:3">
      <c r="A13" s="22" t="s">
        <v>21</v>
      </c>
      <c r="B13" s="24">
        <v>411.25</v>
      </c>
      <c r="C13" s="25">
        <f t="shared" si="0"/>
        <v>51.40625</v>
      </c>
    </row>
    <row r="14" spans="1:3">
      <c r="A14" s="20"/>
      <c r="B14" s="21"/>
    </row>
  </sheetData>
  <autoFilter ref="A1:C13" xr:uid="{DFE1EC13-90EB-4039-8650-E37D74495835}"/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CAE80-E9B0-4E6F-9DEA-660843B51DA9}">
  <dimension ref="A1:B16"/>
  <sheetViews>
    <sheetView workbookViewId="0">
      <selection activeCell="C9" sqref="C9"/>
    </sheetView>
  </sheetViews>
  <sheetFormatPr defaultRowHeight="17.399999999999999"/>
  <cols>
    <col min="1" max="1" width="18.3984375" style="1" customWidth="1"/>
    <col min="2" max="2" width="11.19921875" style="1" customWidth="1"/>
  </cols>
  <sheetData>
    <row r="1" spans="1:2">
      <c r="A1" s="1" t="s">
        <v>0</v>
      </c>
      <c r="B1" s="1" t="s">
        <v>1</v>
      </c>
    </row>
    <row r="2" spans="1:2">
      <c r="A2" s="2" t="s">
        <v>48</v>
      </c>
      <c r="B2" s="1">
        <v>83.7</v>
      </c>
    </row>
    <row r="3" spans="1:2">
      <c r="A3" s="2" t="s">
        <v>37</v>
      </c>
      <c r="B3" s="1">
        <v>82.4</v>
      </c>
    </row>
    <row r="4" spans="1:2">
      <c r="A4" s="2" t="s">
        <v>38</v>
      </c>
      <c r="B4" s="1">
        <v>82.28</v>
      </c>
    </row>
    <row r="5" spans="1:2">
      <c r="A5" s="2" t="s">
        <v>39</v>
      </c>
      <c r="B5" s="1">
        <v>81.92</v>
      </c>
    </row>
    <row r="6" spans="1:2">
      <c r="A6" s="2" t="s">
        <v>43</v>
      </c>
      <c r="B6" s="1">
        <v>81.8</v>
      </c>
    </row>
    <row r="7" spans="1:2">
      <c r="A7" s="2" t="s">
        <v>44</v>
      </c>
      <c r="B7" s="1">
        <v>79.7</v>
      </c>
    </row>
    <row r="8" spans="1:2">
      <c r="A8" s="2" t="s">
        <v>42</v>
      </c>
      <c r="B8" s="1">
        <v>79.430000000000007</v>
      </c>
    </row>
    <row r="9" spans="1:2">
      <c r="A9" s="2" t="s">
        <v>46</v>
      </c>
      <c r="B9" s="1">
        <v>78.97</v>
      </c>
    </row>
    <row r="10" spans="1:2">
      <c r="A10" s="2" t="s">
        <v>47</v>
      </c>
      <c r="B10" s="1">
        <v>78.489999999999995</v>
      </c>
    </row>
    <row r="11" spans="1:2">
      <c r="A11" s="2" t="s">
        <v>41</v>
      </c>
      <c r="B11" s="1">
        <v>76.790000000000006</v>
      </c>
    </row>
    <row r="12" spans="1:2">
      <c r="A12" s="2" t="s">
        <v>45</v>
      </c>
      <c r="B12" s="1">
        <v>76.650000000000006</v>
      </c>
    </row>
    <row r="13" spans="1:2">
      <c r="A13" s="2" t="s">
        <v>40</v>
      </c>
      <c r="B13" s="1">
        <v>71.38</v>
      </c>
    </row>
    <row r="14" spans="1:2">
      <c r="A14" s="2"/>
    </row>
    <row r="15" spans="1:2">
      <c r="A15" s="2"/>
    </row>
    <row r="16" spans="1:2">
      <c r="A16" s="2"/>
    </row>
  </sheetData>
  <autoFilter ref="A1:B13" xr:uid="{12DCAE80-E9B0-4E6F-9DEA-660843B51DA9}">
    <sortState xmlns:xlrd2="http://schemas.microsoft.com/office/spreadsheetml/2017/richdata2" ref="A2:B13">
      <sortCondition descending="1" ref="B1:B13"/>
    </sortState>
  </autoFilter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4B104-5C3F-4343-8B89-3BA79CB37527}">
  <dimension ref="A1:C25"/>
  <sheetViews>
    <sheetView workbookViewId="0">
      <selection activeCell="D14" sqref="D14"/>
    </sheetView>
  </sheetViews>
  <sheetFormatPr defaultRowHeight="17.399999999999999"/>
  <cols>
    <col min="1" max="1" width="18.3984375" style="2" customWidth="1"/>
    <col min="2" max="2" width="11.19921875" style="1" customWidth="1"/>
    <col min="3" max="3" width="8.796875" style="1"/>
  </cols>
  <sheetData>
    <row r="1" spans="1:3">
      <c r="A1" s="2" t="s">
        <v>0</v>
      </c>
      <c r="B1" s="1" t="s">
        <v>1</v>
      </c>
      <c r="C1" s="2" t="s">
        <v>251</v>
      </c>
    </row>
    <row r="2" spans="1:3">
      <c r="A2" s="7" t="s">
        <v>54</v>
      </c>
      <c r="B2" s="4">
        <v>451.43</v>
      </c>
      <c r="C2" s="25">
        <f>B2/7</f>
        <v>64.489999999999995</v>
      </c>
    </row>
    <row r="3" spans="1:3">
      <c r="A3" s="7" t="s">
        <v>57</v>
      </c>
      <c r="B3" s="4">
        <v>429.3</v>
      </c>
      <c r="C3" s="25">
        <f t="shared" ref="C3:C25" si="0">B3/7</f>
        <v>61.328571428571429</v>
      </c>
    </row>
    <row r="4" spans="1:3">
      <c r="A4" s="7" t="s">
        <v>58</v>
      </c>
      <c r="B4" s="4">
        <v>427.87</v>
      </c>
      <c r="C4" s="25">
        <f t="shared" si="0"/>
        <v>61.124285714285712</v>
      </c>
    </row>
    <row r="5" spans="1:3">
      <c r="A5" s="7" t="s">
        <v>53</v>
      </c>
      <c r="B5" s="4">
        <v>420.56</v>
      </c>
      <c r="C5" s="25">
        <f t="shared" si="0"/>
        <v>60.08</v>
      </c>
    </row>
    <row r="6" spans="1:3">
      <c r="A6" s="7" t="s">
        <v>45</v>
      </c>
      <c r="B6" s="4">
        <v>404.38</v>
      </c>
      <c r="C6" s="25">
        <f t="shared" si="0"/>
        <v>57.768571428571427</v>
      </c>
    </row>
    <row r="7" spans="1:3">
      <c r="A7" s="7" t="s">
        <v>59</v>
      </c>
      <c r="B7" s="4">
        <v>401.96</v>
      </c>
      <c r="C7" s="25">
        <f t="shared" si="0"/>
        <v>57.42285714285714</v>
      </c>
    </row>
    <row r="8" spans="1:3">
      <c r="A8" s="7" t="s">
        <v>56</v>
      </c>
      <c r="B8" s="4">
        <v>393.33</v>
      </c>
      <c r="C8" s="25">
        <f t="shared" si="0"/>
        <v>56.19</v>
      </c>
    </row>
    <row r="9" spans="1:3">
      <c r="A9" s="7" t="s">
        <v>55</v>
      </c>
      <c r="B9" s="4">
        <v>366.67</v>
      </c>
      <c r="C9" s="25">
        <f t="shared" si="0"/>
        <v>52.381428571428572</v>
      </c>
    </row>
    <row r="10" spans="1:3">
      <c r="A10" s="8" t="s">
        <v>50</v>
      </c>
      <c r="B10" s="5">
        <v>355</v>
      </c>
      <c r="C10" s="25">
        <f t="shared" si="0"/>
        <v>50.714285714285715</v>
      </c>
    </row>
    <row r="11" spans="1:3">
      <c r="A11" s="7" t="s">
        <v>60</v>
      </c>
      <c r="B11" s="4">
        <v>349.46</v>
      </c>
      <c r="C11" s="25">
        <f t="shared" si="0"/>
        <v>49.92285714285714</v>
      </c>
    </row>
    <row r="12" spans="1:3">
      <c r="A12" s="8" t="s">
        <v>63</v>
      </c>
      <c r="B12" s="5">
        <v>342.19</v>
      </c>
      <c r="C12" s="25">
        <f t="shared" si="0"/>
        <v>48.884285714285717</v>
      </c>
    </row>
    <row r="13" spans="1:3">
      <c r="A13" s="8" t="s">
        <v>62</v>
      </c>
      <c r="B13" s="5">
        <v>325.42</v>
      </c>
      <c r="C13" s="25">
        <f t="shared" si="0"/>
        <v>46.488571428571433</v>
      </c>
    </row>
    <row r="14" spans="1:3">
      <c r="A14" s="8" t="s">
        <v>49</v>
      </c>
      <c r="B14" s="5">
        <v>323.33</v>
      </c>
      <c r="C14" s="25">
        <f t="shared" si="0"/>
        <v>46.19</v>
      </c>
    </row>
    <row r="15" spans="1:3">
      <c r="A15" s="8" t="s">
        <v>51</v>
      </c>
      <c r="B15" s="5">
        <v>314.82</v>
      </c>
      <c r="C15" s="25">
        <f t="shared" si="0"/>
        <v>44.974285714285713</v>
      </c>
    </row>
    <row r="16" spans="1:3">
      <c r="A16" s="8" t="s">
        <v>18</v>
      </c>
      <c r="B16" s="5">
        <v>312.5</v>
      </c>
      <c r="C16" s="25">
        <f t="shared" si="0"/>
        <v>44.642857142857146</v>
      </c>
    </row>
    <row r="17" spans="1:3">
      <c r="A17" s="8" t="s">
        <v>52</v>
      </c>
      <c r="B17" s="5">
        <v>308.33</v>
      </c>
      <c r="C17" s="25">
        <f t="shared" si="0"/>
        <v>44.047142857142852</v>
      </c>
    </row>
    <row r="18" spans="1:3">
      <c r="A18" s="8" t="s">
        <v>13</v>
      </c>
      <c r="B18" s="5">
        <v>307.14</v>
      </c>
      <c r="C18" s="25">
        <f t="shared" si="0"/>
        <v>43.877142857142857</v>
      </c>
    </row>
    <row r="19" spans="1:3">
      <c r="A19" s="8" t="s">
        <v>66</v>
      </c>
      <c r="B19" s="5">
        <v>291.67</v>
      </c>
      <c r="C19" s="25">
        <f t="shared" si="0"/>
        <v>41.667142857142856</v>
      </c>
    </row>
    <row r="20" spans="1:3">
      <c r="A20" s="8" t="s">
        <v>61</v>
      </c>
      <c r="B20" s="5">
        <v>291.43</v>
      </c>
      <c r="C20" s="25">
        <f t="shared" si="0"/>
        <v>41.632857142857141</v>
      </c>
    </row>
    <row r="21" spans="1:3">
      <c r="A21" s="8" t="s">
        <v>64</v>
      </c>
      <c r="B21" s="5">
        <v>291.25</v>
      </c>
      <c r="C21" s="25">
        <f t="shared" si="0"/>
        <v>41.607142857142854</v>
      </c>
    </row>
    <row r="22" spans="1:3">
      <c r="A22" s="8" t="s">
        <v>26</v>
      </c>
      <c r="B22" s="5">
        <v>289.69</v>
      </c>
      <c r="C22" s="25">
        <f t="shared" si="0"/>
        <v>41.384285714285717</v>
      </c>
    </row>
    <row r="23" spans="1:3">
      <c r="A23" s="8" t="s">
        <v>65</v>
      </c>
      <c r="B23" s="5">
        <v>281.54000000000002</v>
      </c>
      <c r="C23" s="25">
        <f t="shared" si="0"/>
        <v>40.220000000000006</v>
      </c>
    </row>
    <row r="24" spans="1:3">
      <c r="A24" s="8" t="s">
        <v>12</v>
      </c>
      <c r="B24" s="5">
        <v>279.5</v>
      </c>
      <c r="C24" s="25">
        <f t="shared" si="0"/>
        <v>39.928571428571431</v>
      </c>
    </row>
    <row r="25" spans="1:3">
      <c r="A25" s="8" t="s">
        <v>67</v>
      </c>
      <c r="B25" s="5">
        <v>231.67</v>
      </c>
      <c r="C25" s="25">
        <f t="shared" si="0"/>
        <v>33.095714285714287</v>
      </c>
    </row>
  </sheetData>
  <autoFilter ref="A1:B25" xr:uid="{8A14B104-5C3F-4343-8B89-3BA79CB37527}">
    <sortState xmlns:xlrd2="http://schemas.microsoft.com/office/spreadsheetml/2017/richdata2" ref="A2:B25">
      <sortCondition descending="1" ref="B1:B25"/>
    </sortState>
  </autoFilter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2D95B-5641-46E3-A66D-423A57F0469F}">
  <dimension ref="A1:B26"/>
  <sheetViews>
    <sheetView workbookViewId="0">
      <selection activeCell="B17" sqref="B17"/>
    </sheetView>
  </sheetViews>
  <sheetFormatPr defaultRowHeight="17.399999999999999"/>
  <cols>
    <col min="1" max="1" width="18.3984375" style="2" customWidth="1"/>
    <col min="2" max="2" width="11.19921875" style="1" customWidth="1"/>
  </cols>
  <sheetData>
    <row r="1" spans="1:2">
      <c r="A1" s="2" t="s">
        <v>0</v>
      </c>
      <c r="B1" s="1" t="s">
        <v>1</v>
      </c>
    </row>
    <row r="2" spans="1:2">
      <c r="A2" s="13" t="s">
        <v>16</v>
      </c>
      <c r="B2" s="14">
        <v>79.400000000000006</v>
      </c>
    </row>
    <row r="3" spans="1:2">
      <c r="A3" s="13" t="s">
        <v>78</v>
      </c>
      <c r="B3" s="14">
        <v>76.8</v>
      </c>
    </row>
    <row r="4" spans="1:2">
      <c r="A4" s="13" t="s">
        <v>18</v>
      </c>
      <c r="B4" s="14">
        <v>72.3</v>
      </c>
    </row>
    <row r="5" spans="1:2">
      <c r="A5" s="13" t="s">
        <v>143</v>
      </c>
      <c r="B5" s="14">
        <v>66.3</v>
      </c>
    </row>
    <row r="6" spans="1:2">
      <c r="A6" s="13" t="s">
        <v>144</v>
      </c>
      <c r="B6" s="14">
        <v>80</v>
      </c>
    </row>
    <row r="7" spans="1:2">
      <c r="A7" s="13" t="s">
        <v>14</v>
      </c>
      <c r="B7" s="14">
        <v>71.8</v>
      </c>
    </row>
    <row r="8" spans="1:2">
      <c r="A8" s="13" t="s">
        <v>74</v>
      </c>
      <c r="B8" s="14">
        <v>76.7</v>
      </c>
    </row>
    <row r="9" spans="1:2">
      <c r="A9" s="13" t="s">
        <v>145</v>
      </c>
      <c r="B9" s="14">
        <v>74.3</v>
      </c>
    </row>
    <row r="10" spans="1:2">
      <c r="A10" s="13" t="s">
        <v>76</v>
      </c>
      <c r="B10" s="14">
        <v>74.8</v>
      </c>
    </row>
    <row r="11" spans="1:2">
      <c r="A11" s="13" t="s">
        <v>146</v>
      </c>
      <c r="B11" s="14">
        <v>72.099999999999994</v>
      </c>
    </row>
    <row r="12" spans="1:2">
      <c r="A12" s="13" t="s">
        <v>68</v>
      </c>
      <c r="B12" s="14">
        <v>74.099999999999994</v>
      </c>
    </row>
    <row r="13" spans="1:2">
      <c r="A13" s="13" t="s">
        <v>147</v>
      </c>
      <c r="B13" s="14">
        <v>78.599999999999994</v>
      </c>
    </row>
    <row r="14" spans="1:2">
      <c r="A14" s="13" t="s">
        <v>148</v>
      </c>
      <c r="B14" s="14">
        <v>77.599999999999994</v>
      </c>
    </row>
    <row r="15" spans="1:2">
      <c r="A15" s="13" t="s">
        <v>149</v>
      </c>
      <c r="B15" s="14">
        <v>74.3</v>
      </c>
    </row>
    <row r="16" spans="1:2">
      <c r="A16" s="13" t="s">
        <v>150</v>
      </c>
      <c r="B16" s="14">
        <v>68.3</v>
      </c>
    </row>
    <row r="17" spans="1:2">
      <c r="A17" s="13" t="s">
        <v>151</v>
      </c>
      <c r="B17" s="14">
        <v>79.2</v>
      </c>
    </row>
    <row r="18" spans="1:2">
      <c r="A18" s="13"/>
      <c r="B18" s="14"/>
    </row>
    <row r="19" spans="1:2">
      <c r="A19" s="13"/>
      <c r="B19" s="14"/>
    </row>
    <row r="20" spans="1:2">
      <c r="A20" s="13"/>
      <c r="B20" s="14"/>
    </row>
    <row r="21" spans="1:2">
      <c r="A21" s="13"/>
      <c r="B21" s="14"/>
    </row>
    <row r="22" spans="1:2">
      <c r="A22" s="13"/>
      <c r="B22" s="14"/>
    </row>
    <row r="23" spans="1:2">
      <c r="A23" s="13"/>
      <c r="B23" s="14"/>
    </row>
    <row r="24" spans="1:2">
      <c r="A24" s="13"/>
      <c r="B24" s="14"/>
    </row>
    <row r="25" spans="1:2">
      <c r="A25" s="13"/>
      <c r="B25" s="14"/>
    </row>
    <row r="26" spans="1:2">
      <c r="A26" s="13"/>
      <c r="B26" s="14"/>
    </row>
  </sheetData>
  <autoFilter ref="A1:B26" xr:uid="{7172A18B-F1AA-4DCD-B64A-4071429F3868}">
    <sortState xmlns:xlrd2="http://schemas.microsoft.com/office/spreadsheetml/2017/richdata2" ref="A2:B26">
      <sortCondition descending="1" ref="B1:B26"/>
    </sortState>
  </autoFilter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C7366-AE85-4147-AA11-E840F9725675}">
  <dimension ref="A1:C25"/>
  <sheetViews>
    <sheetView workbookViewId="0">
      <selection activeCell="D6" sqref="D6"/>
    </sheetView>
  </sheetViews>
  <sheetFormatPr defaultRowHeight="17.399999999999999"/>
  <cols>
    <col min="1" max="1" width="18.3984375" style="2" customWidth="1"/>
    <col min="2" max="2" width="11.19921875" style="1" customWidth="1"/>
  </cols>
  <sheetData>
    <row r="1" spans="1:3">
      <c r="A1" s="2" t="s">
        <v>0</v>
      </c>
      <c r="B1" s="1" t="s">
        <v>1</v>
      </c>
      <c r="C1" s="26" t="s">
        <v>251</v>
      </c>
    </row>
    <row r="2" spans="1:3">
      <c r="A2" s="6" t="s">
        <v>70</v>
      </c>
      <c r="B2" s="3">
        <v>871.18</v>
      </c>
      <c r="C2" s="35">
        <f t="shared" ref="C2:C10" si="0">(B2-750)*2/3</f>
        <v>80.786666666666633</v>
      </c>
    </row>
    <row r="3" spans="1:3">
      <c r="A3" s="6" t="s">
        <v>248</v>
      </c>
      <c r="B3" s="3">
        <v>867.38</v>
      </c>
      <c r="C3" s="35">
        <f t="shared" si="0"/>
        <v>78.25333333333333</v>
      </c>
    </row>
    <row r="4" spans="1:3">
      <c r="A4" s="6" t="s">
        <v>246</v>
      </c>
      <c r="B4" s="3">
        <v>859.56</v>
      </c>
      <c r="C4" s="35">
        <f t="shared" si="0"/>
        <v>73.039999999999964</v>
      </c>
    </row>
    <row r="5" spans="1:3">
      <c r="A5" s="7" t="s">
        <v>250</v>
      </c>
      <c r="B5" s="4">
        <v>856.72</v>
      </c>
      <c r="C5" s="27">
        <f t="shared" si="0"/>
        <v>71.14666666666669</v>
      </c>
    </row>
    <row r="6" spans="1:3">
      <c r="A6" s="6" t="s">
        <v>247</v>
      </c>
      <c r="B6" s="3">
        <v>855.58</v>
      </c>
      <c r="C6" s="35">
        <f t="shared" si="0"/>
        <v>70.386666666666699</v>
      </c>
    </row>
    <row r="7" spans="1:3">
      <c r="A7" s="7" t="s">
        <v>249</v>
      </c>
      <c r="B7" s="4">
        <v>854.4</v>
      </c>
      <c r="C7" s="27">
        <f t="shared" si="0"/>
        <v>69.59999999999998</v>
      </c>
    </row>
    <row r="8" spans="1:3">
      <c r="A8" s="6" t="s">
        <v>93</v>
      </c>
      <c r="B8" s="3">
        <v>846.77</v>
      </c>
      <c r="C8" s="35">
        <f t="shared" si="0"/>
        <v>64.513333333333321</v>
      </c>
    </row>
    <row r="9" spans="1:3">
      <c r="A9" s="6" t="s">
        <v>63</v>
      </c>
      <c r="B9" s="3">
        <v>845</v>
      </c>
      <c r="C9" s="35">
        <f t="shared" si="0"/>
        <v>63.333333333333336</v>
      </c>
    </row>
    <row r="10" spans="1:3">
      <c r="A10" s="6" t="s">
        <v>2</v>
      </c>
      <c r="B10" s="3">
        <v>841.72</v>
      </c>
      <c r="C10" s="35">
        <f t="shared" si="0"/>
        <v>61.146666666666682</v>
      </c>
    </row>
    <row r="11" spans="1:3">
      <c r="A11" s="13"/>
      <c r="B11" s="14"/>
    </row>
    <row r="12" spans="1:3">
      <c r="A12" s="13"/>
      <c r="B12" s="14"/>
    </row>
    <row r="13" spans="1:3">
      <c r="A13" s="13"/>
      <c r="B13" s="14"/>
    </row>
    <row r="14" spans="1:3">
      <c r="A14" s="13"/>
      <c r="B14" s="14"/>
    </row>
    <row r="15" spans="1:3">
      <c r="A15" s="13"/>
      <c r="B15" s="14"/>
    </row>
    <row r="16" spans="1:3">
      <c r="A16" s="13"/>
      <c r="B16" s="14"/>
    </row>
    <row r="17" spans="1:2">
      <c r="A17" s="13"/>
      <c r="B17" s="14"/>
    </row>
    <row r="18" spans="1:2">
      <c r="A18" s="13"/>
      <c r="B18" s="14"/>
    </row>
    <row r="19" spans="1:2">
      <c r="A19" s="13"/>
      <c r="B19" s="14"/>
    </row>
    <row r="20" spans="1:2">
      <c r="A20" s="13"/>
      <c r="B20" s="14"/>
    </row>
    <row r="21" spans="1:2">
      <c r="A21" s="13"/>
      <c r="B21" s="14"/>
    </row>
    <row r="22" spans="1:2">
      <c r="A22" s="13"/>
      <c r="B22" s="14"/>
    </row>
    <row r="23" spans="1:2">
      <c r="A23" s="13"/>
      <c r="B23" s="14"/>
    </row>
    <row r="24" spans="1:2">
      <c r="A24" s="13"/>
      <c r="B24" s="14"/>
    </row>
    <row r="25" spans="1:2">
      <c r="A25" s="13"/>
      <c r="B25" s="14"/>
    </row>
  </sheetData>
  <autoFilter ref="A1:C10" xr:uid="{0D8C7366-AE85-4147-AA11-E840F9725675}">
    <sortState xmlns:xlrd2="http://schemas.microsoft.com/office/spreadsheetml/2017/richdata2" ref="A2:C10">
      <sortCondition descending="1" ref="C1:C10"/>
    </sortState>
  </autoFilter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3D2B2-0EC0-48F6-9874-7E9B3DCAD975}">
  <dimension ref="A1:B13"/>
  <sheetViews>
    <sheetView workbookViewId="0">
      <selection activeCell="D6" sqref="D6"/>
    </sheetView>
  </sheetViews>
  <sheetFormatPr defaultRowHeight="17.399999999999999"/>
  <cols>
    <col min="1" max="1" width="18.3984375" style="1" customWidth="1"/>
    <col min="2" max="2" width="11.19921875" style="1" customWidth="1"/>
  </cols>
  <sheetData>
    <row r="1" spans="1:2">
      <c r="A1" s="1" t="s">
        <v>0</v>
      </c>
      <c r="B1" s="1" t="s">
        <v>1</v>
      </c>
    </row>
    <row r="2" spans="1:2">
      <c r="A2" s="10" t="s">
        <v>35</v>
      </c>
      <c r="B2" s="10">
        <v>93</v>
      </c>
    </row>
    <row r="3" spans="1:2">
      <c r="A3" s="12" t="s">
        <v>161</v>
      </c>
      <c r="B3" s="12">
        <v>62.5</v>
      </c>
    </row>
    <row r="4" spans="1:2">
      <c r="A4" s="4" t="s">
        <v>63</v>
      </c>
      <c r="B4" s="4">
        <v>56</v>
      </c>
    </row>
    <row r="5" spans="1:2">
      <c r="A5" s="4" t="s">
        <v>16</v>
      </c>
      <c r="B5" s="4">
        <v>56</v>
      </c>
    </row>
    <row r="6" spans="1:2">
      <c r="A6" s="4" t="s">
        <v>162</v>
      </c>
      <c r="B6" s="4">
        <v>55.5</v>
      </c>
    </row>
    <row r="7" spans="1:2">
      <c r="A7" s="4" t="s">
        <v>158</v>
      </c>
      <c r="B7" s="4">
        <v>54</v>
      </c>
    </row>
    <row r="8" spans="1:2">
      <c r="A8" s="5" t="s">
        <v>2</v>
      </c>
      <c r="B8" s="5">
        <v>53</v>
      </c>
    </row>
    <row r="9" spans="1:2">
      <c r="A9" s="4" t="s">
        <v>12</v>
      </c>
      <c r="B9" s="4">
        <v>52</v>
      </c>
    </row>
    <row r="10" spans="1:2">
      <c r="A10" s="4" t="s">
        <v>14</v>
      </c>
      <c r="B10" s="4">
        <v>51.5</v>
      </c>
    </row>
    <row r="11" spans="1:2">
      <c r="A11" s="5" t="s">
        <v>153</v>
      </c>
      <c r="B11" s="5">
        <v>51</v>
      </c>
    </row>
    <row r="12" spans="1:2">
      <c r="A12" s="5" t="s">
        <v>160</v>
      </c>
      <c r="B12" s="5">
        <v>48.5</v>
      </c>
    </row>
    <row r="13" spans="1:2">
      <c r="A13" s="5" t="s">
        <v>159</v>
      </c>
      <c r="B13" s="5">
        <v>48</v>
      </c>
    </row>
  </sheetData>
  <autoFilter ref="A1:B21" xr:uid="{9EE497F2-82E5-4F87-90C7-AFF9A4351116}">
    <sortState xmlns:xlrd2="http://schemas.microsoft.com/office/spreadsheetml/2017/richdata2" ref="A2:B21">
      <sortCondition descending="1" ref="B1:B21"/>
    </sortState>
  </autoFilter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D4E7B-F42E-431F-85E0-23E07DE8AE1B}">
  <dimension ref="A1:C26"/>
  <sheetViews>
    <sheetView workbookViewId="0">
      <selection activeCell="M20" sqref="M20"/>
    </sheetView>
  </sheetViews>
  <sheetFormatPr defaultRowHeight="17.399999999999999"/>
  <cols>
    <col min="1" max="1" width="18.3984375" style="2" customWidth="1"/>
    <col min="2" max="2" width="11.19921875" style="1" customWidth="1"/>
    <col min="3" max="3" width="8.796875" style="1"/>
  </cols>
  <sheetData>
    <row r="1" spans="1:3">
      <c r="A1" s="2" t="s">
        <v>0</v>
      </c>
      <c r="B1" s="1" t="s">
        <v>1</v>
      </c>
      <c r="C1" s="2" t="s">
        <v>251</v>
      </c>
    </row>
    <row r="2" spans="1:3">
      <c r="A2" s="8" t="s">
        <v>256</v>
      </c>
      <c r="B2" s="5">
        <v>136</v>
      </c>
      <c r="C2" s="28">
        <f t="shared" ref="C2:C15" si="0">B2/14*10</f>
        <v>97.142857142857139</v>
      </c>
    </row>
    <row r="3" spans="1:3">
      <c r="A3" s="8" t="s">
        <v>246</v>
      </c>
      <c r="B3" s="5">
        <v>133</v>
      </c>
      <c r="C3" s="28">
        <f t="shared" si="0"/>
        <v>95</v>
      </c>
    </row>
    <row r="4" spans="1:3">
      <c r="A4" s="8" t="s">
        <v>255</v>
      </c>
      <c r="B4" s="5">
        <v>131</v>
      </c>
      <c r="C4" s="28">
        <f t="shared" si="0"/>
        <v>93.571428571428584</v>
      </c>
    </row>
    <row r="5" spans="1:3">
      <c r="A5" s="8" t="s">
        <v>248</v>
      </c>
      <c r="B5" s="5">
        <v>131</v>
      </c>
      <c r="C5" s="28">
        <f t="shared" si="0"/>
        <v>93.571428571428584</v>
      </c>
    </row>
    <row r="6" spans="1:3">
      <c r="A6" s="13" t="s">
        <v>257</v>
      </c>
      <c r="B6" s="14">
        <v>130</v>
      </c>
      <c r="C6" s="25">
        <f t="shared" si="0"/>
        <v>92.857142857142861</v>
      </c>
    </row>
    <row r="7" spans="1:3">
      <c r="A7" s="13" t="s">
        <v>254</v>
      </c>
      <c r="B7" s="14">
        <v>128</v>
      </c>
      <c r="C7" s="25">
        <f t="shared" si="0"/>
        <v>91.428571428571416</v>
      </c>
    </row>
    <row r="8" spans="1:3">
      <c r="A8" s="8" t="s">
        <v>247</v>
      </c>
      <c r="B8" s="5">
        <v>127</v>
      </c>
      <c r="C8" s="28">
        <f t="shared" si="0"/>
        <v>90.714285714285708</v>
      </c>
    </row>
    <row r="9" spans="1:3">
      <c r="A9" s="8" t="s">
        <v>252</v>
      </c>
      <c r="B9" s="5">
        <v>122</v>
      </c>
      <c r="C9" s="28">
        <f t="shared" si="0"/>
        <v>87.142857142857139</v>
      </c>
    </row>
    <row r="10" spans="1:3">
      <c r="A10" s="13" t="s">
        <v>259</v>
      </c>
      <c r="B10" s="14">
        <v>120</v>
      </c>
      <c r="C10" s="25">
        <f t="shared" si="0"/>
        <v>85.714285714285708</v>
      </c>
    </row>
    <row r="11" spans="1:3">
      <c r="A11" s="13" t="s">
        <v>260</v>
      </c>
      <c r="B11" s="14">
        <v>119</v>
      </c>
      <c r="C11" s="25">
        <f t="shared" si="0"/>
        <v>85</v>
      </c>
    </row>
    <row r="12" spans="1:3">
      <c r="A12" s="13" t="s">
        <v>261</v>
      </c>
      <c r="B12" s="14">
        <v>114</v>
      </c>
      <c r="C12" s="25">
        <f t="shared" si="0"/>
        <v>81.428571428571416</v>
      </c>
    </row>
    <row r="13" spans="1:3">
      <c r="A13" s="7" t="s">
        <v>70</v>
      </c>
      <c r="B13" s="4">
        <v>113</v>
      </c>
      <c r="C13" s="27">
        <f t="shared" si="0"/>
        <v>80.714285714285708</v>
      </c>
    </row>
    <row r="14" spans="1:3">
      <c r="A14" s="7" t="s">
        <v>253</v>
      </c>
      <c r="B14" s="4">
        <v>110</v>
      </c>
      <c r="C14" s="27">
        <f t="shared" si="0"/>
        <v>78.571428571428569</v>
      </c>
    </row>
    <row r="15" spans="1:3">
      <c r="A15" s="13" t="s">
        <v>258</v>
      </c>
      <c r="B15" s="14">
        <v>108</v>
      </c>
      <c r="C15" s="25">
        <f t="shared" si="0"/>
        <v>77.142857142857139</v>
      </c>
    </row>
    <row r="16" spans="1:3">
      <c r="A16" s="13"/>
      <c r="B16" s="14"/>
    </row>
    <row r="17" spans="1:2">
      <c r="A17" s="13"/>
      <c r="B17" s="14"/>
    </row>
    <row r="18" spans="1:2">
      <c r="A18" s="13"/>
      <c r="B18" s="14"/>
    </row>
    <row r="19" spans="1:2">
      <c r="A19" s="13"/>
      <c r="B19" s="14"/>
    </row>
    <row r="20" spans="1:2">
      <c r="A20" s="13"/>
      <c r="B20" s="14"/>
    </row>
    <row r="21" spans="1:2">
      <c r="A21" s="13"/>
      <c r="B21" s="14"/>
    </row>
    <row r="22" spans="1:2">
      <c r="A22" s="13"/>
      <c r="B22" s="14"/>
    </row>
    <row r="23" spans="1:2">
      <c r="A23" s="13"/>
      <c r="B23" s="14"/>
    </row>
    <row r="24" spans="1:2">
      <c r="A24" s="13"/>
      <c r="B24" s="14"/>
    </row>
    <row r="25" spans="1:2">
      <c r="A25" s="13"/>
      <c r="B25" s="14"/>
    </row>
    <row r="26" spans="1:2">
      <c r="A26" s="13"/>
      <c r="B26" s="14"/>
    </row>
  </sheetData>
  <autoFilter ref="A1:C15" xr:uid="{8D9D4E7B-F42E-431F-85E0-23E07DE8AE1B}">
    <sortState xmlns:xlrd2="http://schemas.microsoft.com/office/spreadsheetml/2017/richdata2" ref="A2:C15">
      <sortCondition descending="1" ref="C1:C15"/>
    </sortState>
  </autoFilter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DFEC5-C605-489B-A389-AD1F2CD9B762}">
  <dimension ref="A1:B31"/>
  <sheetViews>
    <sheetView workbookViewId="0">
      <selection sqref="A1:A1048576"/>
    </sheetView>
  </sheetViews>
  <sheetFormatPr defaultRowHeight="17.399999999999999"/>
  <cols>
    <col min="1" max="1" width="18.3984375" style="2" customWidth="1"/>
    <col min="2" max="2" width="11.19921875" style="1" customWidth="1"/>
  </cols>
  <sheetData>
    <row r="1" spans="1:2">
      <c r="A1" s="2" t="s">
        <v>0</v>
      </c>
      <c r="B1" s="1" t="s">
        <v>1</v>
      </c>
    </row>
    <row r="2" spans="1:2">
      <c r="A2" s="7" t="s">
        <v>83</v>
      </c>
      <c r="B2" s="4">
        <v>85.13</v>
      </c>
    </row>
    <row r="3" spans="1:2">
      <c r="A3" s="8" t="s">
        <v>34</v>
      </c>
      <c r="B3" s="5">
        <v>82.38</v>
      </c>
    </row>
    <row r="4" spans="1:2">
      <c r="A4" s="8" t="s">
        <v>16</v>
      </c>
      <c r="B4" s="5">
        <v>80.25</v>
      </c>
    </row>
    <row r="5" spans="1:2">
      <c r="A5" s="8" t="s">
        <v>272</v>
      </c>
      <c r="B5" s="5">
        <v>76.44</v>
      </c>
    </row>
    <row r="6" spans="1:2">
      <c r="A6" s="8" t="s">
        <v>21</v>
      </c>
      <c r="B6" s="5">
        <v>73.42</v>
      </c>
    </row>
    <row r="7" spans="1:2">
      <c r="A7" s="8" t="s">
        <v>19</v>
      </c>
      <c r="B7" s="5">
        <v>73.099999999999994</v>
      </c>
    </row>
    <row r="8" spans="1:2">
      <c r="A8" s="8" t="s">
        <v>71</v>
      </c>
      <c r="B8" s="5">
        <v>71.5</v>
      </c>
    </row>
    <row r="9" spans="1:2">
      <c r="A9" s="8" t="s">
        <v>68</v>
      </c>
      <c r="B9" s="5">
        <v>71.42</v>
      </c>
    </row>
    <row r="10" spans="1:2">
      <c r="A10" s="8" t="s">
        <v>78</v>
      </c>
      <c r="B10" s="5">
        <v>69.83</v>
      </c>
    </row>
    <row r="11" spans="1:2">
      <c r="A11" s="8" t="s">
        <v>18</v>
      </c>
      <c r="B11" s="5">
        <v>67.06</v>
      </c>
    </row>
    <row r="12" spans="1:2">
      <c r="A12" s="8" t="s">
        <v>14</v>
      </c>
      <c r="B12" s="5">
        <v>67.040000000000006</v>
      </c>
    </row>
    <row r="13" spans="1:2">
      <c r="A13" s="8" t="s">
        <v>269</v>
      </c>
      <c r="B13" s="5">
        <v>63.85</v>
      </c>
    </row>
    <row r="14" spans="1:2">
      <c r="A14" s="8" t="s">
        <v>245</v>
      </c>
      <c r="B14" s="5">
        <v>63.43</v>
      </c>
    </row>
    <row r="15" spans="1:2">
      <c r="A15" s="8" t="s">
        <v>70</v>
      </c>
      <c r="B15" s="5">
        <v>63.29</v>
      </c>
    </row>
    <row r="16" spans="1:2">
      <c r="A16" s="8" t="s">
        <v>15</v>
      </c>
      <c r="B16" s="5">
        <v>62.83</v>
      </c>
    </row>
    <row r="17" spans="1:2">
      <c r="A17" s="8" t="s">
        <v>270</v>
      </c>
      <c r="B17" s="5">
        <v>59.92</v>
      </c>
    </row>
    <row r="18" spans="1:2">
      <c r="A18" s="8" t="s">
        <v>271</v>
      </c>
      <c r="B18" s="5">
        <v>59.3</v>
      </c>
    </row>
    <row r="19" spans="1:2">
      <c r="A19" s="6" t="s">
        <v>265</v>
      </c>
      <c r="B19" s="3">
        <v>51.5</v>
      </c>
    </row>
    <row r="20" spans="1:2">
      <c r="A20" s="6" t="s">
        <v>63</v>
      </c>
      <c r="B20" s="3">
        <v>50.57</v>
      </c>
    </row>
    <row r="21" spans="1:2">
      <c r="A21" s="6" t="s">
        <v>266</v>
      </c>
      <c r="B21" s="3">
        <v>48.29</v>
      </c>
    </row>
    <row r="22" spans="1:2">
      <c r="A22" s="6" t="s">
        <v>74</v>
      </c>
      <c r="B22" s="3">
        <v>46.25</v>
      </c>
    </row>
    <row r="23" spans="1:2">
      <c r="A23" s="6" t="s">
        <v>268</v>
      </c>
      <c r="B23" s="3">
        <v>45.86</v>
      </c>
    </row>
    <row r="24" spans="1:2">
      <c r="A24" s="6" t="s">
        <v>45</v>
      </c>
      <c r="B24" s="3">
        <v>45.26</v>
      </c>
    </row>
    <row r="25" spans="1:2">
      <c r="A25" s="6" t="s">
        <v>262</v>
      </c>
      <c r="B25" s="3">
        <v>45.22</v>
      </c>
    </row>
    <row r="26" spans="1:2">
      <c r="A26" s="6" t="s">
        <v>87</v>
      </c>
      <c r="B26" s="3">
        <v>45.21</v>
      </c>
    </row>
    <row r="27" spans="1:2">
      <c r="A27" s="6" t="s">
        <v>54</v>
      </c>
      <c r="B27" s="3">
        <v>44.11</v>
      </c>
    </row>
    <row r="28" spans="1:2">
      <c r="A28" s="6" t="s">
        <v>267</v>
      </c>
      <c r="B28" s="3">
        <v>40.78</v>
      </c>
    </row>
    <row r="29" spans="1:2">
      <c r="A29" s="6" t="s">
        <v>263</v>
      </c>
      <c r="B29" s="3">
        <v>40.200000000000003</v>
      </c>
    </row>
    <row r="30" spans="1:2">
      <c r="A30" s="6" t="s">
        <v>62</v>
      </c>
      <c r="B30" s="3">
        <v>38.130000000000003</v>
      </c>
    </row>
    <row r="31" spans="1:2">
      <c r="A31" s="6" t="s">
        <v>264</v>
      </c>
      <c r="B31" s="3">
        <v>36.67</v>
      </c>
    </row>
  </sheetData>
  <autoFilter ref="A1:B15" xr:uid="{8D9D4E7B-F42E-431F-85E0-23E07DE8AE1B}">
    <sortState xmlns:xlrd2="http://schemas.microsoft.com/office/spreadsheetml/2017/richdata2" ref="A2:B31">
      <sortCondition descending="1" ref="B1:B15"/>
    </sortState>
  </autoFilter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2A18B-F1AA-4DCD-B64A-4071429F3868}">
  <dimension ref="A1:B26"/>
  <sheetViews>
    <sheetView workbookViewId="0">
      <selection activeCell="B1" sqref="B1"/>
    </sheetView>
  </sheetViews>
  <sheetFormatPr defaultRowHeight="17.399999999999999"/>
  <cols>
    <col min="1" max="1" width="18.3984375" style="2" customWidth="1"/>
    <col min="2" max="2" width="11.19921875" style="1" customWidth="1"/>
  </cols>
  <sheetData>
    <row r="1" spans="1:2">
      <c r="A1" s="2" t="s">
        <v>0</v>
      </c>
      <c r="B1" s="1" t="s">
        <v>1</v>
      </c>
    </row>
    <row r="2" spans="1:2">
      <c r="A2" s="8" t="s">
        <v>142</v>
      </c>
      <c r="B2" s="5">
        <v>89</v>
      </c>
    </row>
    <row r="3" spans="1:2">
      <c r="A3" s="8" t="s">
        <v>141</v>
      </c>
      <c r="B3" s="5">
        <v>76.400000000000006</v>
      </c>
    </row>
    <row r="4" spans="1:2">
      <c r="A4" s="7" t="s">
        <v>21</v>
      </c>
      <c r="B4" s="4">
        <v>70.599999999999994</v>
      </c>
    </row>
    <row r="5" spans="1:2">
      <c r="A5" s="8" t="s">
        <v>24</v>
      </c>
      <c r="B5" s="5">
        <v>68</v>
      </c>
    </row>
    <row r="6" spans="1:2">
      <c r="A6" s="7" t="s">
        <v>76</v>
      </c>
      <c r="B6" s="4">
        <v>67.599999999999994</v>
      </c>
    </row>
    <row r="7" spans="1:2">
      <c r="A7" s="8" t="s">
        <v>140</v>
      </c>
      <c r="B7" s="5">
        <v>65.599999999999994</v>
      </c>
    </row>
    <row r="8" spans="1:2">
      <c r="A8" s="7" t="s">
        <v>16</v>
      </c>
      <c r="B8" s="4">
        <v>64.2</v>
      </c>
    </row>
    <row r="9" spans="1:2">
      <c r="A9" s="7" t="s">
        <v>14</v>
      </c>
      <c r="B9" s="4">
        <v>63.6</v>
      </c>
    </row>
    <row r="10" spans="1:2">
      <c r="A10" s="7" t="s">
        <v>9</v>
      </c>
      <c r="B10" s="4">
        <v>63</v>
      </c>
    </row>
    <row r="11" spans="1:2">
      <c r="A11" s="7" t="s">
        <v>131</v>
      </c>
      <c r="B11" s="4">
        <v>62.6</v>
      </c>
    </row>
    <row r="12" spans="1:2">
      <c r="A12" s="7" t="s">
        <v>128</v>
      </c>
      <c r="B12" s="4">
        <v>62.5</v>
      </c>
    </row>
    <row r="13" spans="1:2">
      <c r="A13" s="7" t="s">
        <v>129</v>
      </c>
      <c r="B13" s="4">
        <v>61.9</v>
      </c>
    </row>
    <row r="14" spans="1:2">
      <c r="A14" s="7" t="s">
        <v>132</v>
      </c>
      <c r="B14" s="4">
        <v>61</v>
      </c>
    </row>
    <row r="15" spans="1:2">
      <c r="A15" s="7" t="s">
        <v>68</v>
      </c>
      <c r="B15" s="4">
        <v>60.5</v>
      </c>
    </row>
    <row r="16" spans="1:2">
      <c r="A16" s="7" t="s">
        <v>130</v>
      </c>
      <c r="B16" s="4">
        <v>58.7</v>
      </c>
    </row>
    <row r="17" spans="1:2">
      <c r="A17" s="7" t="s">
        <v>18</v>
      </c>
      <c r="B17" s="4">
        <v>57.9</v>
      </c>
    </row>
    <row r="18" spans="1:2">
      <c r="A18" s="7" t="s">
        <v>78</v>
      </c>
      <c r="B18" s="4">
        <v>57.3</v>
      </c>
    </row>
    <row r="19" spans="1:2">
      <c r="A19" s="7" t="s">
        <v>48</v>
      </c>
      <c r="B19" s="4">
        <v>56.7</v>
      </c>
    </row>
    <row r="20" spans="1:2">
      <c r="A20" s="7" t="s">
        <v>135</v>
      </c>
      <c r="B20" s="4">
        <v>43.6</v>
      </c>
    </row>
    <row r="21" spans="1:2">
      <c r="A21" s="7" t="s">
        <v>133</v>
      </c>
      <c r="B21" s="4">
        <v>40.1</v>
      </c>
    </row>
    <row r="22" spans="1:2">
      <c r="A22" s="7" t="s">
        <v>137</v>
      </c>
      <c r="B22" s="4">
        <v>39.6</v>
      </c>
    </row>
    <row r="23" spans="1:2">
      <c r="A23" s="7" t="s">
        <v>139</v>
      </c>
      <c r="B23" s="4">
        <v>39.200000000000003</v>
      </c>
    </row>
    <row r="24" spans="1:2">
      <c r="A24" s="7" t="s">
        <v>138</v>
      </c>
      <c r="B24" s="4">
        <v>38.200000000000003</v>
      </c>
    </row>
    <row r="25" spans="1:2">
      <c r="A25" s="7" t="s">
        <v>136</v>
      </c>
      <c r="B25" s="4">
        <v>35</v>
      </c>
    </row>
    <row r="26" spans="1:2">
      <c r="A26" s="7" t="s">
        <v>134</v>
      </c>
      <c r="B26" s="4">
        <v>27.1</v>
      </c>
    </row>
  </sheetData>
  <autoFilter ref="A1:B26" xr:uid="{7172A18B-F1AA-4DCD-B64A-4071429F3868}">
    <sortState xmlns:xlrd2="http://schemas.microsoft.com/office/spreadsheetml/2017/richdata2" ref="A2:B26">
      <sortCondition descending="1" ref="B1:B26"/>
    </sortState>
  </autoFilter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20E9A-2FA9-4A92-8078-A020D2CBC1A6}">
  <dimension ref="A1:C28"/>
  <sheetViews>
    <sheetView zoomScale="85" zoomScaleNormal="85" workbookViewId="0">
      <selection activeCell="F13" sqref="F13"/>
    </sheetView>
  </sheetViews>
  <sheetFormatPr defaultRowHeight="17.399999999999999"/>
  <cols>
    <col min="1" max="1" width="18.3984375" style="2" customWidth="1"/>
    <col min="2" max="2" width="11.19921875" style="1" customWidth="1"/>
    <col min="3" max="3" width="8.796875" style="1"/>
  </cols>
  <sheetData>
    <row r="1" spans="1:3">
      <c r="A1" s="2" t="s">
        <v>0</v>
      </c>
      <c r="B1" s="1" t="s">
        <v>1</v>
      </c>
      <c r="C1" s="2" t="s">
        <v>251</v>
      </c>
    </row>
    <row r="2" spans="1:3">
      <c r="A2" s="8" t="s">
        <v>164</v>
      </c>
      <c r="B2" s="5">
        <v>385.4</v>
      </c>
      <c r="C2" s="25">
        <f>(B2-250)*2/3</f>
        <v>90.266666666666652</v>
      </c>
    </row>
    <row r="3" spans="1:3">
      <c r="A3" s="8" t="s">
        <v>177</v>
      </c>
      <c r="B3" s="5">
        <v>382</v>
      </c>
      <c r="C3" s="25">
        <f t="shared" ref="C3:C28" si="0">(B3-250)*2/3</f>
        <v>88</v>
      </c>
    </row>
    <row r="4" spans="1:3">
      <c r="A4" s="8" t="s">
        <v>171</v>
      </c>
      <c r="B4" s="5">
        <v>381.3</v>
      </c>
      <c r="C4" s="25">
        <f t="shared" si="0"/>
        <v>87.533333333333346</v>
      </c>
    </row>
    <row r="5" spans="1:3">
      <c r="A5" s="7" t="s">
        <v>169</v>
      </c>
      <c r="B5" s="4">
        <v>380.5</v>
      </c>
      <c r="C5" s="25">
        <f t="shared" si="0"/>
        <v>87</v>
      </c>
    </row>
    <row r="6" spans="1:3">
      <c r="A6" s="7" t="s">
        <v>167</v>
      </c>
      <c r="B6" s="4">
        <v>379.8</v>
      </c>
      <c r="C6" s="25">
        <f t="shared" si="0"/>
        <v>86.533333333333346</v>
      </c>
    </row>
    <row r="7" spans="1:3">
      <c r="A7" s="7" t="s">
        <v>63</v>
      </c>
      <c r="B7" s="4">
        <v>379.3</v>
      </c>
      <c r="C7" s="25">
        <f t="shared" si="0"/>
        <v>86.2</v>
      </c>
    </row>
    <row r="8" spans="1:3">
      <c r="A8" s="7" t="s">
        <v>183</v>
      </c>
      <c r="B8" s="4">
        <v>379</v>
      </c>
      <c r="C8" s="25">
        <f t="shared" si="0"/>
        <v>86</v>
      </c>
    </row>
    <row r="9" spans="1:3">
      <c r="A9" s="7" t="s">
        <v>92</v>
      </c>
      <c r="B9" s="4">
        <v>378.6</v>
      </c>
      <c r="C9" s="25">
        <f t="shared" si="0"/>
        <v>85.733333333333348</v>
      </c>
    </row>
    <row r="10" spans="1:3">
      <c r="A10" s="8" t="s">
        <v>176</v>
      </c>
      <c r="B10" s="5">
        <v>378.4</v>
      </c>
      <c r="C10" s="25">
        <f t="shared" si="0"/>
        <v>85.59999999999998</v>
      </c>
    </row>
    <row r="11" spans="1:3">
      <c r="A11" s="8" t="s">
        <v>163</v>
      </c>
      <c r="B11" s="5">
        <v>378.1</v>
      </c>
      <c r="C11" s="25">
        <f t="shared" si="0"/>
        <v>85.40000000000002</v>
      </c>
    </row>
    <row r="12" spans="1:3">
      <c r="A12" s="7" t="s">
        <v>170</v>
      </c>
      <c r="B12" s="4">
        <v>378</v>
      </c>
      <c r="C12" s="25">
        <f t="shared" si="0"/>
        <v>85.333333333333329</v>
      </c>
    </row>
    <row r="13" spans="1:3">
      <c r="A13" s="8" t="s">
        <v>174</v>
      </c>
      <c r="B13" s="5">
        <v>377.9</v>
      </c>
      <c r="C13" s="25">
        <f t="shared" si="0"/>
        <v>85.266666666666652</v>
      </c>
    </row>
    <row r="14" spans="1:3">
      <c r="A14" s="7" t="s">
        <v>166</v>
      </c>
      <c r="B14" s="4">
        <v>377.7</v>
      </c>
      <c r="C14" s="25">
        <f t="shared" si="0"/>
        <v>85.133333333333326</v>
      </c>
    </row>
    <row r="15" spans="1:3">
      <c r="A15" s="7" t="s">
        <v>74</v>
      </c>
      <c r="B15" s="4">
        <v>375.7</v>
      </c>
      <c r="C15" s="25">
        <f t="shared" si="0"/>
        <v>83.8</v>
      </c>
    </row>
    <row r="16" spans="1:3">
      <c r="A16" s="7" t="s">
        <v>148</v>
      </c>
      <c r="B16" s="4">
        <v>375.3</v>
      </c>
      <c r="C16" s="25">
        <f t="shared" si="0"/>
        <v>83.533333333333346</v>
      </c>
    </row>
    <row r="17" spans="1:3">
      <c r="A17" s="8" t="s">
        <v>175</v>
      </c>
      <c r="B17" s="5">
        <v>374.7</v>
      </c>
      <c r="C17" s="25">
        <f t="shared" si="0"/>
        <v>83.133333333333326</v>
      </c>
    </row>
    <row r="18" spans="1:3">
      <c r="A18" s="7" t="s">
        <v>184</v>
      </c>
      <c r="B18" s="4">
        <v>374.6</v>
      </c>
      <c r="C18" s="25">
        <f t="shared" si="0"/>
        <v>83.066666666666677</v>
      </c>
    </row>
    <row r="19" spans="1:3">
      <c r="A19" s="8" t="s">
        <v>172</v>
      </c>
      <c r="B19" s="5">
        <v>373.8</v>
      </c>
      <c r="C19" s="25">
        <f t="shared" si="0"/>
        <v>82.533333333333346</v>
      </c>
    </row>
    <row r="20" spans="1:3">
      <c r="A20" s="8" t="s">
        <v>173</v>
      </c>
      <c r="B20" s="5">
        <v>373.8</v>
      </c>
      <c r="C20" s="25">
        <f t="shared" si="0"/>
        <v>82.533333333333346</v>
      </c>
    </row>
    <row r="21" spans="1:3">
      <c r="A21" s="8" t="s">
        <v>165</v>
      </c>
      <c r="B21" s="5">
        <v>371.3</v>
      </c>
      <c r="C21" s="25">
        <f t="shared" si="0"/>
        <v>80.866666666666674</v>
      </c>
    </row>
    <row r="22" spans="1:3">
      <c r="A22" s="8" t="s">
        <v>178</v>
      </c>
      <c r="B22" s="5">
        <v>369.1</v>
      </c>
      <c r="C22" s="25">
        <f t="shared" si="0"/>
        <v>79.40000000000002</v>
      </c>
    </row>
    <row r="23" spans="1:3">
      <c r="A23" s="8" t="s">
        <v>182</v>
      </c>
      <c r="B23" s="5">
        <v>368.3</v>
      </c>
      <c r="C23" s="25">
        <f t="shared" si="0"/>
        <v>78.866666666666674</v>
      </c>
    </row>
    <row r="24" spans="1:3">
      <c r="A24" s="8" t="s">
        <v>11</v>
      </c>
      <c r="B24" s="5">
        <v>367.9</v>
      </c>
      <c r="C24" s="25">
        <f t="shared" si="0"/>
        <v>78.59999999999998</v>
      </c>
    </row>
    <row r="25" spans="1:3">
      <c r="A25" s="7" t="s">
        <v>168</v>
      </c>
      <c r="B25" s="4">
        <v>366.4</v>
      </c>
      <c r="C25" s="25">
        <f t="shared" si="0"/>
        <v>77.59999999999998</v>
      </c>
    </row>
    <row r="26" spans="1:3">
      <c r="A26" s="8" t="s">
        <v>179</v>
      </c>
      <c r="B26" s="5">
        <v>363.8</v>
      </c>
      <c r="C26" s="25">
        <f t="shared" si="0"/>
        <v>75.866666666666674</v>
      </c>
    </row>
    <row r="27" spans="1:3">
      <c r="A27" s="8" t="s">
        <v>180</v>
      </c>
      <c r="B27" s="5">
        <v>360.4</v>
      </c>
      <c r="C27" s="25">
        <f t="shared" si="0"/>
        <v>73.59999999999998</v>
      </c>
    </row>
    <row r="28" spans="1:3">
      <c r="A28" s="8" t="s">
        <v>181</v>
      </c>
      <c r="B28" s="5">
        <v>357.6</v>
      </c>
      <c r="C28" s="25">
        <f t="shared" si="0"/>
        <v>71.733333333333348</v>
      </c>
    </row>
  </sheetData>
  <autoFilter ref="A1:C28" xr:uid="{C3C20E9A-2FA9-4A92-8078-A020D2CBC1A6}"/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64A96-87C5-450B-9A4B-54DF34AC00B7}">
  <dimension ref="A1:B23"/>
  <sheetViews>
    <sheetView workbookViewId="0">
      <selection sqref="A1:A1048576"/>
    </sheetView>
  </sheetViews>
  <sheetFormatPr defaultRowHeight="17.399999999999999"/>
  <cols>
    <col min="1" max="1" width="18.3984375" style="2" customWidth="1"/>
    <col min="2" max="2" width="11.19921875" style="1" customWidth="1"/>
  </cols>
  <sheetData>
    <row r="1" spans="1:2">
      <c r="A1" s="2" t="s">
        <v>0</v>
      </c>
      <c r="B1" s="1" t="s">
        <v>1</v>
      </c>
    </row>
    <row r="2" spans="1:2">
      <c r="A2" s="13" t="s">
        <v>148</v>
      </c>
      <c r="B2" s="14">
        <v>65.3</v>
      </c>
    </row>
    <row r="3" spans="1:2">
      <c r="A3" s="13" t="s">
        <v>273</v>
      </c>
      <c r="B3" s="14">
        <v>59.4</v>
      </c>
    </row>
    <row r="4" spans="1:2">
      <c r="A4" s="13" t="s">
        <v>279</v>
      </c>
      <c r="B4" s="14">
        <v>59.3</v>
      </c>
    </row>
    <row r="5" spans="1:2">
      <c r="A5" s="13" t="s">
        <v>76</v>
      </c>
      <c r="B5" s="14">
        <v>58.1</v>
      </c>
    </row>
    <row r="6" spans="1:2">
      <c r="A6" s="13" t="s">
        <v>276</v>
      </c>
      <c r="B6" s="14">
        <v>57.6</v>
      </c>
    </row>
    <row r="7" spans="1:2">
      <c r="A7" s="13" t="s">
        <v>275</v>
      </c>
      <c r="B7" s="14">
        <v>56.6</v>
      </c>
    </row>
    <row r="8" spans="1:2">
      <c r="A8" s="13" t="s">
        <v>164</v>
      </c>
      <c r="B8" s="14">
        <v>56.3</v>
      </c>
    </row>
    <row r="9" spans="1:2">
      <c r="A9" s="13" t="s">
        <v>278</v>
      </c>
      <c r="B9" s="14">
        <v>56</v>
      </c>
    </row>
    <row r="10" spans="1:2">
      <c r="A10" s="13" t="s">
        <v>280</v>
      </c>
      <c r="B10" s="14">
        <v>55.3</v>
      </c>
    </row>
    <row r="11" spans="1:2">
      <c r="A11" s="13" t="s">
        <v>73</v>
      </c>
      <c r="B11" s="14">
        <v>55</v>
      </c>
    </row>
    <row r="12" spans="1:2">
      <c r="A12" s="13" t="s">
        <v>277</v>
      </c>
      <c r="B12" s="14">
        <v>50.3</v>
      </c>
    </row>
    <row r="13" spans="1:2">
      <c r="A13" s="13" t="s">
        <v>242</v>
      </c>
      <c r="B13" s="14">
        <v>48.8</v>
      </c>
    </row>
    <row r="14" spans="1:2">
      <c r="A14" s="13" t="s">
        <v>274</v>
      </c>
      <c r="B14" s="14">
        <v>44.3</v>
      </c>
    </row>
    <row r="15" spans="1:2">
      <c r="A15" s="13"/>
      <c r="B15" s="14"/>
    </row>
    <row r="16" spans="1:2">
      <c r="A16" s="13"/>
      <c r="B16" s="14"/>
    </row>
    <row r="17" spans="1:2">
      <c r="A17" s="13"/>
      <c r="B17" s="14"/>
    </row>
    <row r="18" spans="1:2">
      <c r="A18" s="13"/>
      <c r="B18" s="14"/>
    </row>
    <row r="19" spans="1:2">
      <c r="A19" s="13"/>
      <c r="B19" s="14"/>
    </row>
    <row r="20" spans="1:2">
      <c r="A20" s="13"/>
      <c r="B20" s="14"/>
    </row>
    <row r="21" spans="1:2">
      <c r="A21" s="13"/>
      <c r="B21" s="14"/>
    </row>
    <row r="22" spans="1:2">
      <c r="A22" s="13"/>
      <c r="B22" s="14"/>
    </row>
    <row r="23" spans="1:2">
      <c r="A23" s="13"/>
      <c r="B23" s="14"/>
    </row>
  </sheetData>
  <autoFilter ref="A1:B23" xr:uid="{FB81FA13-29CC-43E2-A108-3D5DA482B159}">
    <sortState xmlns:xlrd2="http://schemas.microsoft.com/office/spreadsheetml/2017/richdata2" ref="A2:B23">
      <sortCondition descending="1" ref="B1:B23"/>
    </sortState>
  </autoFilter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AA482-D559-4EB6-B95B-605285B6B8C2}">
  <dimension ref="A1:B23"/>
  <sheetViews>
    <sheetView workbookViewId="0">
      <selection activeCell="B17" sqref="B17"/>
    </sheetView>
  </sheetViews>
  <sheetFormatPr defaultRowHeight="17.399999999999999"/>
  <cols>
    <col min="1" max="1" width="18.3984375" style="2" customWidth="1"/>
    <col min="2" max="2" width="11.19921875" style="1" customWidth="1"/>
  </cols>
  <sheetData>
    <row r="1" spans="1:2">
      <c r="A1" s="2" t="s">
        <v>0</v>
      </c>
      <c r="B1" s="1" t="s">
        <v>1</v>
      </c>
    </row>
    <row r="2" spans="1:2">
      <c r="A2" s="13" t="s">
        <v>408</v>
      </c>
      <c r="B2" s="14">
        <v>980</v>
      </c>
    </row>
    <row r="3" spans="1:2">
      <c r="A3" s="13" t="s">
        <v>19</v>
      </c>
      <c r="B3" s="14">
        <v>827.5</v>
      </c>
    </row>
    <row r="4" spans="1:2">
      <c r="A4" s="13" t="s">
        <v>148</v>
      </c>
      <c r="B4" s="14">
        <v>821</v>
      </c>
    </row>
    <row r="5" spans="1:2">
      <c r="A5" s="13" t="s">
        <v>87</v>
      </c>
      <c r="B5" s="14">
        <v>780</v>
      </c>
    </row>
    <row r="6" spans="1:2">
      <c r="A6" s="13" t="s">
        <v>412</v>
      </c>
      <c r="B6" s="14">
        <v>773.3</v>
      </c>
    </row>
    <row r="7" spans="1:2">
      <c r="A7" s="13" t="s">
        <v>409</v>
      </c>
      <c r="B7" s="14">
        <v>763.8</v>
      </c>
    </row>
    <row r="8" spans="1:2">
      <c r="A8" s="13" t="s">
        <v>383</v>
      </c>
      <c r="B8" s="14">
        <v>754.3</v>
      </c>
    </row>
    <row r="9" spans="1:2">
      <c r="A9" s="13" t="s">
        <v>16</v>
      </c>
      <c r="B9" s="14">
        <v>750</v>
      </c>
    </row>
    <row r="10" spans="1:2">
      <c r="A10" s="13" t="s">
        <v>413</v>
      </c>
      <c r="B10" s="14">
        <v>739</v>
      </c>
    </row>
    <row r="11" spans="1:2">
      <c r="A11" s="13" t="s">
        <v>411</v>
      </c>
      <c r="B11" s="14">
        <v>711.7</v>
      </c>
    </row>
    <row r="12" spans="1:2">
      <c r="A12" s="13" t="s">
        <v>18</v>
      </c>
      <c r="B12" s="14">
        <v>703.3</v>
      </c>
    </row>
    <row r="13" spans="1:2">
      <c r="A13" s="13" t="s">
        <v>25</v>
      </c>
      <c r="B13" s="14">
        <v>663.3</v>
      </c>
    </row>
    <row r="14" spans="1:2">
      <c r="A14" s="13" t="s">
        <v>396</v>
      </c>
      <c r="B14" s="14">
        <v>658.8</v>
      </c>
    </row>
    <row r="15" spans="1:2">
      <c r="A15" s="13" t="s">
        <v>410</v>
      </c>
      <c r="B15" s="14">
        <v>640</v>
      </c>
    </row>
    <row r="16" spans="1:2">
      <c r="A16" s="13" t="s">
        <v>272</v>
      </c>
      <c r="B16" s="14">
        <v>587.5</v>
      </c>
    </row>
    <row r="17" spans="1:2">
      <c r="A17" s="13"/>
      <c r="B17" s="14"/>
    </row>
    <row r="18" spans="1:2">
      <c r="A18" s="13"/>
      <c r="B18" s="14"/>
    </row>
    <row r="19" spans="1:2">
      <c r="A19" s="13"/>
      <c r="B19" s="14"/>
    </row>
    <row r="20" spans="1:2">
      <c r="A20" s="13"/>
      <c r="B20" s="14"/>
    </row>
    <row r="21" spans="1:2">
      <c r="A21" s="13"/>
      <c r="B21" s="14"/>
    </row>
    <row r="22" spans="1:2">
      <c r="A22" s="13"/>
      <c r="B22" s="14"/>
    </row>
    <row r="23" spans="1:2">
      <c r="A23" s="13"/>
      <c r="B23" s="14"/>
    </row>
  </sheetData>
  <autoFilter ref="A1:B23" xr:uid="{FB81FA13-29CC-43E2-A108-3D5DA482B159}">
    <sortState xmlns:xlrd2="http://schemas.microsoft.com/office/spreadsheetml/2017/richdata2" ref="A2:B23">
      <sortCondition descending="1" ref="B1:B23"/>
    </sortState>
  </autoFilter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FC7BE-8B15-41F7-88D4-7C612AF4C73B}">
  <dimension ref="A1:B23"/>
  <sheetViews>
    <sheetView workbookViewId="0">
      <selection activeCell="D3" sqref="D3"/>
    </sheetView>
  </sheetViews>
  <sheetFormatPr defaultRowHeight="17.399999999999999"/>
  <cols>
    <col min="1" max="1" width="18.3984375" style="2" customWidth="1"/>
    <col min="2" max="2" width="11.19921875" style="1" customWidth="1"/>
  </cols>
  <sheetData>
    <row r="1" spans="1:2">
      <c r="A1" s="2" t="s">
        <v>0</v>
      </c>
      <c r="B1" s="1" t="s">
        <v>1</v>
      </c>
    </row>
    <row r="2" spans="1:2">
      <c r="A2" s="7" t="s">
        <v>287</v>
      </c>
      <c r="B2" s="4">
        <v>80.7</v>
      </c>
    </row>
    <row r="3" spans="1:2">
      <c r="A3" s="6" t="s">
        <v>281</v>
      </c>
      <c r="B3" s="3">
        <v>79.599999999999994</v>
      </c>
    </row>
    <row r="4" spans="1:2">
      <c r="A4" s="6" t="s">
        <v>282</v>
      </c>
      <c r="B4" s="3">
        <v>77</v>
      </c>
    </row>
    <row r="5" spans="1:2">
      <c r="A5" s="6" t="s">
        <v>285</v>
      </c>
      <c r="B5" s="3">
        <v>73.599999999999994</v>
      </c>
    </row>
    <row r="6" spans="1:2">
      <c r="A6" s="6" t="s">
        <v>284</v>
      </c>
      <c r="B6" s="3">
        <v>72.2</v>
      </c>
    </row>
    <row r="7" spans="1:2">
      <c r="A7" s="6" t="s">
        <v>283</v>
      </c>
      <c r="B7" s="3">
        <v>71.5</v>
      </c>
    </row>
    <row r="8" spans="1:2">
      <c r="A8" s="7" t="s">
        <v>288</v>
      </c>
      <c r="B8" s="4">
        <v>67.7</v>
      </c>
    </row>
    <row r="9" spans="1:2">
      <c r="A9" s="7" t="s">
        <v>286</v>
      </c>
      <c r="B9" s="4">
        <v>65.099999999999994</v>
      </c>
    </row>
    <row r="10" spans="1:2">
      <c r="A10" s="13"/>
      <c r="B10" s="14"/>
    </row>
    <row r="11" spans="1:2">
      <c r="A11" s="13"/>
      <c r="B11" s="14"/>
    </row>
    <row r="12" spans="1:2">
      <c r="A12" s="13"/>
      <c r="B12" s="14"/>
    </row>
    <row r="13" spans="1:2">
      <c r="A13" s="13"/>
      <c r="B13" s="14"/>
    </row>
    <row r="14" spans="1:2">
      <c r="A14" s="13"/>
      <c r="B14" s="14"/>
    </row>
    <row r="15" spans="1:2">
      <c r="A15" s="13"/>
      <c r="B15" s="14"/>
    </row>
    <row r="16" spans="1:2">
      <c r="A16" s="13"/>
      <c r="B16" s="14"/>
    </row>
    <row r="17" spans="1:2">
      <c r="A17" s="13"/>
      <c r="B17" s="14"/>
    </row>
    <row r="18" spans="1:2">
      <c r="A18" s="13"/>
      <c r="B18" s="14"/>
    </row>
    <row r="19" spans="1:2">
      <c r="A19" s="13"/>
      <c r="B19" s="14"/>
    </row>
    <row r="20" spans="1:2">
      <c r="A20" s="13"/>
      <c r="B20" s="14"/>
    </row>
    <row r="21" spans="1:2">
      <c r="A21" s="13"/>
      <c r="B21" s="14"/>
    </row>
    <row r="22" spans="1:2">
      <c r="A22" s="13"/>
      <c r="B22" s="14"/>
    </row>
    <row r="23" spans="1:2">
      <c r="A23" s="13"/>
      <c r="B23" s="14"/>
    </row>
  </sheetData>
  <autoFilter ref="A1:B23" xr:uid="{FB81FA13-29CC-43E2-A108-3D5DA482B159}">
    <sortState xmlns:xlrd2="http://schemas.microsoft.com/office/spreadsheetml/2017/richdata2" ref="A2:B23">
      <sortCondition descending="1" ref="B1:B23"/>
    </sortState>
  </autoFilter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F8177-8D56-4C33-9785-759833632E25}">
  <dimension ref="A1:B25"/>
  <sheetViews>
    <sheetView workbookViewId="0">
      <selection activeCell="H17" sqref="H17"/>
    </sheetView>
  </sheetViews>
  <sheetFormatPr defaultRowHeight="17.399999999999999"/>
  <cols>
    <col min="1" max="1" width="18.3984375" style="2" customWidth="1"/>
    <col min="2" max="2" width="11.19921875" style="1" customWidth="1"/>
  </cols>
  <sheetData>
    <row r="1" spans="1:2">
      <c r="A1" s="2" t="s">
        <v>0</v>
      </c>
      <c r="B1" s="1" t="s">
        <v>1</v>
      </c>
    </row>
    <row r="2" spans="1:2">
      <c r="A2" s="6" t="s">
        <v>307</v>
      </c>
      <c r="B2" s="3">
        <v>13.08</v>
      </c>
    </row>
    <row r="3" spans="1:2">
      <c r="A3" s="6" t="s">
        <v>296</v>
      </c>
      <c r="B3" s="3">
        <v>13.03</v>
      </c>
    </row>
    <row r="4" spans="1:2">
      <c r="A4" s="6" t="s">
        <v>184</v>
      </c>
      <c r="B4" s="3">
        <v>12.86</v>
      </c>
    </row>
    <row r="5" spans="1:2">
      <c r="A5" s="6" t="s">
        <v>303</v>
      </c>
      <c r="B5" s="3">
        <v>12.82</v>
      </c>
    </row>
    <row r="6" spans="1:2">
      <c r="A6" s="6" t="s">
        <v>302</v>
      </c>
      <c r="B6" s="3">
        <v>12.8</v>
      </c>
    </row>
    <row r="7" spans="1:2">
      <c r="A7" s="6" t="s">
        <v>299</v>
      </c>
      <c r="B7" s="3">
        <v>12.72</v>
      </c>
    </row>
    <row r="8" spans="1:2">
      <c r="A8" s="6" t="s">
        <v>305</v>
      </c>
      <c r="B8" s="3">
        <v>12.52</v>
      </c>
    </row>
    <row r="9" spans="1:2">
      <c r="A9" s="6" t="s">
        <v>292</v>
      </c>
      <c r="B9" s="3">
        <v>12.27</v>
      </c>
    </row>
    <row r="10" spans="1:2">
      <c r="A10" s="6" t="s">
        <v>291</v>
      </c>
      <c r="B10" s="3">
        <v>12.15</v>
      </c>
    </row>
    <row r="11" spans="1:2">
      <c r="A11" s="6" t="s">
        <v>290</v>
      </c>
      <c r="B11" s="3">
        <v>12.03</v>
      </c>
    </row>
    <row r="12" spans="1:2">
      <c r="A12" s="6" t="s">
        <v>297</v>
      </c>
      <c r="B12" s="3">
        <v>12</v>
      </c>
    </row>
    <row r="13" spans="1:2">
      <c r="A13" s="6" t="s">
        <v>300</v>
      </c>
      <c r="B13" s="3">
        <v>12</v>
      </c>
    </row>
    <row r="14" spans="1:2">
      <c r="A14" s="7" t="s">
        <v>310</v>
      </c>
      <c r="B14" s="4">
        <v>11.98</v>
      </c>
    </row>
    <row r="15" spans="1:2">
      <c r="A15" s="7" t="s">
        <v>308</v>
      </c>
      <c r="B15" s="4">
        <v>11.95</v>
      </c>
    </row>
    <row r="16" spans="1:2">
      <c r="A16" s="6" t="s">
        <v>304</v>
      </c>
      <c r="B16" s="3">
        <v>11.74</v>
      </c>
    </row>
    <row r="17" spans="1:2">
      <c r="A17" s="6" t="s">
        <v>301</v>
      </c>
      <c r="B17" s="3">
        <v>11.66</v>
      </c>
    </row>
    <row r="18" spans="1:2">
      <c r="A18" s="7" t="s">
        <v>311</v>
      </c>
      <c r="B18" s="4">
        <v>11.66</v>
      </c>
    </row>
    <row r="19" spans="1:2">
      <c r="A19" s="6" t="s">
        <v>294</v>
      </c>
      <c r="B19" s="3">
        <v>11.5</v>
      </c>
    </row>
    <row r="20" spans="1:2">
      <c r="A20" s="6" t="s">
        <v>289</v>
      </c>
      <c r="B20" s="3">
        <v>11.44</v>
      </c>
    </row>
    <row r="21" spans="1:2">
      <c r="A21" s="6" t="s">
        <v>295</v>
      </c>
      <c r="B21" s="3">
        <v>11.32</v>
      </c>
    </row>
    <row r="22" spans="1:2">
      <c r="A22" s="6" t="s">
        <v>306</v>
      </c>
      <c r="B22" s="3">
        <v>11.25</v>
      </c>
    </row>
    <row r="23" spans="1:2">
      <c r="A23" s="6" t="s">
        <v>298</v>
      </c>
      <c r="B23" s="3">
        <v>11.01</v>
      </c>
    </row>
    <row r="24" spans="1:2">
      <c r="A24" s="6" t="s">
        <v>293</v>
      </c>
      <c r="B24" s="3">
        <v>10.86</v>
      </c>
    </row>
    <row r="25" spans="1:2">
      <c r="A25" s="7" t="s">
        <v>309</v>
      </c>
      <c r="B25" s="4">
        <v>10.34</v>
      </c>
    </row>
  </sheetData>
  <autoFilter ref="A1:B23" xr:uid="{FB81FA13-29CC-43E2-A108-3D5DA482B159}">
    <sortState xmlns:xlrd2="http://schemas.microsoft.com/office/spreadsheetml/2017/richdata2" ref="A2:B25">
      <sortCondition descending="1" ref="B1:B23"/>
    </sortState>
  </autoFilter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1FA13-29CC-43E2-A108-3D5DA482B159}">
  <dimension ref="A1:B23"/>
  <sheetViews>
    <sheetView workbookViewId="0">
      <selection activeCell="B1" sqref="B1"/>
    </sheetView>
  </sheetViews>
  <sheetFormatPr defaultRowHeight="17.399999999999999"/>
  <cols>
    <col min="1" max="1" width="18.3984375" style="1" customWidth="1"/>
    <col min="2" max="2" width="11.19921875" style="1" customWidth="1"/>
  </cols>
  <sheetData>
    <row r="1" spans="1:2">
      <c r="A1" s="1" t="s">
        <v>0</v>
      </c>
      <c r="B1" s="1" t="s">
        <v>1</v>
      </c>
    </row>
    <row r="2" spans="1:2">
      <c r="A2" s="5" t="s">
        <v>29</v>
      </c>
      <c r="B2" s="5">
        <v>79.69</v>
      </c>
    </row>
    <row r="3" spans="1:2">
      <c r="A3" s="4" t="s">
        <v>76</v>
      </c>
      <c r="B3" s="4">
        <v>79.33</v>
      </c>
    </row>
    <row r="4" spans="1:2">
      <c r="A4" s="4" t="s">
        <v>18</v>
      </c>
      <c r="B4" s="4">
        <v>74.849999999999994</v>
      </c>
    </row>
    <row r="5" spans="1:2">
      <c r="A5" s="3" t="s">
        <v>83</v>
      </c>
      <c r="B5" s="3">
        <v>74.84</v>
      </c>
    </row>
    <row r="6" spans="1:2">
      <c r="A6" s="4" t="s">
        <v>75</v>
      </c>
      <c r="B6" s="4">
        <v>71.819999999999993</v>
      </c>
    </row>
    <row r="7" spans="1:2">
      <c r="A7" s="4" t="s">
        <v>78</v>
      </c>
      <c r="B7" s="4">
        <v>71.5</v>
      </c>
    </row>
    <row r="8" spans="1:2">
      <c r="A8" s="4" t="s">
        <v>16</v>
      </c>
      <c r="B8" s="4">
        <v>70.86</v>
      </c>
    </row>
    <row r="9" spans="1:2">
      <c r="A9" s="5" t="s">
        <v>72</v>
      </c>
      <c r="B9" s="5">
        <v>70.61</v>
      </c>
    </row>
    <row r="10" spans="1:2">
      <c r="A10" s="4" t="s">
        <v>14</v>
      </c>
      <c r="B10" s="4">
        <v>70.25</v>
      </c>
    </row>
    <row r="11" spans="1:2">
      <c r="A11" s="5" t="s">
        <v>26</v>
      </c>
      <c r="B11" s="5">
        <v>69.81</v>
      </c>
    </row>
    <row r="12" spans="1:2">
      <c r="A12" s="5" t="s">
        <v>69</v>
      </c>
      <c r="B12" s="5">
        <v>69.13</v>
      </c>
    </row>
    <row r="13" spans="1:2">
      <c r="A13" s="4" t="s">
        <v>77</v>
      </c>
      <c r="B13" s="4">
        <v>68.400000000000006</v>
      </c>
    </row>
    <row r="14" spans="1:2">
      <c r="A14" s="4" t="s">
        <v>21</v>
      </c>
      <c r="B14" s="4">
        <v>66.900000000000006</v>
      </c>
    </row>
    <row r="15" spans="1:2">
      <c r="A15" s="5" t="s">
        <v>68</v>
      </c>
      <c r="B15" s="5">
        <v>66.75</v>
      </c>
    </row>
    <row r="16" spans="1:2">
      <c r="A16" s="4" t="s">
        <v>73</v>
      </c>
      <c r="B16" s="4">
        <v>65.650000000000006</v>
      </c>
    </row>
    <row r="17" spans="1:2">
      <c r="A17" s="4" t="s">
        <v>34</v>
      </c>
      <c r="B17" s="4">
        <v>64</v>
      </c>
    </row>
    <row r="18" spans="1:2">
      <c r="A18" s="5" t="s">
        <v>71</v>
      </c>
      <c r="B18" s="5">
        <v>61.81</v>
      </c>
    </row>
    <row r="19" spans="1:2">
      <c r="A19" s="5" t="s">
        <v>70</v>
      </c>
      <c r="B19" s="5">
        <v>61.35</v>
      </c>
    </row>
    <row r="20" spans="1:2">
      <c r="A20" s="3" t="s">
        <v>81</v>
      </c>
      <c r="B20" s="3">
        <v>57.05</v>
      </c>
    </row>
    <row r="21" spans="1:2">
      <c r="A21" s="3" t="s">
        <v>82</v>
      </c>
      <c r="B21" s="3">
        <v>56.31</v>
      </c>
    </row>
    <row r="22" spans="1:2">
      <c r="A22" s="3" t="s">
        <v>79</v>
      </c>
      <c r="B22" s="3">
        <v>55.2</v>
      </c>
    </row>
    <row r="23" spans="1:2">
      <c r="A23" s="3" t="s">
        <v>80</v>
      </c>
      <c r="B23" s="3">
        <v>50.95</v>
      </c>
    </row>
  </sheetData>
  <autoFilter ref="A1:B23" xr:uid="{FB81FA13-29CC-43E2-A108-3D5DA482B159}">
    <sortState xmlns:xlrd2="http://schemas.microsoft.com/office/spreadsheetml/2017/richdata2" ref="A2:B23">
      <sortCondition descending="1" ref="B1:B23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27</vt:i4>
      </vt:variant>
    </vt:vector>
  </HeadingPairs>
  <TitlesOfParts>
    <vt:vector size="27" baseType="lpstr">
      <vt:lpstr>가천대</vt:lpstr>
      <vt:lpstr>강남대</vt:lpstr>
      <vt:lpstr>경북대</vt:lpstr>
      <vt:lpstr>경희대</vt:lpstr>
      <vt:lpstr>광운대</vt:lpstr>
      <vt:lpstr>국민대</vt:lpstr>
      <vt:lpstr>단국대</vt:lpstr>
      <vt:lpstr>동국대</vt:lpstr>
      <vt:lpstr>부산대</vt:lpstr>
      <vt:lpstr>삼육대</vt:lpstr>
      <vt:lpstr>상명대</vt:lpstr>
      <vt:lpstr>서경대</vt:lpstr>
      <vt:lpstr>서울시립대</vt:lpstr>
      <vt:lpstr>성신여대</vt:lpstr>
      <vt:lpstr>세종대</vt:lpstr>
      <vt:lpstr>숭실대</vt:lpstr>
      <vt:lpstr>신한대</vt:lpstr>
      <vt:lpstr>아주대</vt:lpstr>
      <vt:lpstr>을지대</vt:lpstr>
      <vt:lpstr>인하대</vt:lpstr>
      <vt:lpstr>중앙대</vt:lpstr>
      <vt:lpstr>한국공학대</vt:lpstr>
      <vt:lpstr>한국기술교육대</vt:lpstr>
      <vt:lpstr>한국외대</vt:lpstr>
      <vt:lpstr>한국항공대</vt:lpstr>
      <vt:lpstr>한신대</vt:lpstr>
      <vt:lpstr>한양대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2026-05-15T07:23:45Z</dcterms:created>
  <dcterms:modified xsi:type="dcterms:W3CDTF">2026-09-01T00:44:54Z</dcterms:modified>
</cp:coreProperties>
</file>